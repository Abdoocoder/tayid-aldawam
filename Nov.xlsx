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/>
  </bookViews>
  <sheets>
    <sheet name="all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2" i="1" l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F95" i="1" s="1"/>
  <c r="F97" i="1" s="1"/>
  <c r="L3" i="1"/>
  <c r="F96" i="1" s="1"/>
</calcChain>
</file>

<file path=xl/sharedStrings.xml><?xml version="1.0" encoding="utf-8"?>
<sst xmlns="http://schemas.openxmlformats.org/spreadsheetml/2006/main" count="205" uniqueCount="134">
  <si>
    <t>كشف تأييد دوام العمال الوافدين لشهر 11-2025</t>
  </si>
  <si>
    <t>الرقم</t>
  </si>
  <si>
    <t>الموظف</t>
  </si>
  <si>
    <t xml:space="preserve">اسم الموظف </t>
  </si>
  <si>
    <t>عدد ايام العمل</t>
  </si>
  <si>
    <t>الإضافي بعد الدوام</t>
  </si>
  <si>
    <t>الجمع والعطل</t>
  </si>
  <si>
    <t>الأعياد</t>
  </si>
  <si>
    <t>المراقب والمنطقة</t>
  </si>
  <si>
    <t xml:space="preserve"> الراتب الاساسي</t>
  </si>
  <si>
    <t>ملاحظات</t>
  </si>
  <si>
    <t>مجموع الاضافي</t>
  </si>
  <si>
    <t>مجموع الراتب</t>
  </si>
  <si>
    <t>محمد إبراهيم محمد إسماعيل</t>
  </si>
  <si>
    <t>ليلي - مالك العبابسة</t>
  </si>
  <si>
    <t>محمد حسن معروف</t>
  </si>
  <si>
    <t>مراسل - المحافظة</t>
  </si>
  <si>
    <t>خالد رمضان محمد ابراهيم</t>
  </si>
  <si>
    <t>حنينا  - أحمد سعيد الرواجيح</t>
  </si>
  <si>
    <t>عمرو محمد شحاته محمد</t>
  </si>
  <si>
    <t>ابراهيم حسن قنديل احمد</t>
  </si>
  <si>
    <t>باشر بتاريخ 1/11/2025</t>
  </si>
  <si>
    <t>إبراهيم عبدالمحسن امين عثمان</t>
  </si>
  <si>
    <t>حي الزراعة - احمد سعيد</t>
  </si>
  <si>
    <t>نادي سرحان عبداللطيف إبراهيم</t>
  </si>
  <si>
    <t>حي الازايدة - احمد القطيش</t>
  </si>
  <si>
    <t>أشرف محمد ذكي محمد</t>
  </si>
  <si>
    <t>مسائي - مالك العبابسة</t>
  </si>
  <si>
    <t>محمد حسن محمد احمد</t>
  </si>
  <si>
    <t>جلال ابوعيسى - الحي الشرقي</t>
  </si>
  <si>
    <t>رضا مططفى حمدي مرسي</t>
  </si>
  <si>
    <t>حجازي شحاته شحاته محمد</t>
  </si>
  <si>
    <t>علاء محمد محمد عبدالوهاب</t>
  </si>
  <si>
    <t>المخيم - حمزة الكراملة</t>
  </si>
  <si>
    <t>احمد جاد علي حافظ</t>
  </si>
  <si>
    <t>وسط المدينة - عثمان الرفاعي</t>
  </si>
  <si>
    <t>محمد زغلول عبدالمطلب علي</t>
  </si>
  <si>
    <t>اشرف محمود إبراهيم محمد</t>
  </si>
  <si>
    <t>النطافة -احمد القطيش</t>
  </si>
  <si>
    <t>حسن حسني حسن عبدالمجيد</t>
  </si>
  <si>
    <t>احمد عبدالغني احمد احمد</t>
  </si>
  <si>
    <t>خالد محمد علي ابوزيد</t>
  </si>
  <si>
    <t>محمد ابراهيم عبدالغني</t>
  </si>
  <si>
    <t>اشرف عشري محمد مهني</t>
  </si>
  <si>
    <t>خالد فالح نجيب محمد</t>
  </si>
  <si>
    <t>ياسر عبدالعزيز حسن غنيم</t>
  </si>
  <si>
    <t>عدلي فوزي سلامة اندراوس</t>
  </si>
  <si>
    <t>ربيع صبيح محمد احمد</t>
  </si>
  <si>
    <t>ابوبكر مهد ي زكي السيد</t>
  </si>
  <si>
    <t>إبراهيم زكي عياد رزق</t>
  </si>
  <si>
    <t>محمد عبدالرازق ابوزيد محمد علي</t>
  </si>
  <si>
    <t>مختار محمد عبدالحميد مرسي</t>
  </si>
  <si>
    <t>عبدالرحمن عبدالحليم عبدالرحمن حسن</t>
  </si>
  <si>
    <t>اسماعيل حسن محمود اسماعيل</t>
  </si>
  <si>
    <t>احمد ابراهيم محمد اسماعيل</t>
  </si>
  <si>
    <t>رمضان إبراهيم رمضان محمد</t>
  </si>
  <si>
    <t>احمد إبراهيم عبدالغني محمد</t>
  </si>
  <si>
    <t>وليد محمد سعد حبشي</t>
  </si>
  <si>
    <t>مراسل - الزراعة</t>
  </si>
  <si>
    <t>ايمن عبدالباسط ابراهيم مرسي</t>
  </si>
  <si>
    <t>رمضان حسين محمد حسين</t>
  </si>
  <si>
    <t>سعيد عبدالحليم محمد محمد طلبة</t>
  </si>
  <si>
    <t>حجازي الدخلي جلوي محمد</t>
  </si>
  <si>
    <t>حليم صدقي ناشد اندرواس</t>
  </si>
  <si>
    <t>رمضان صلاح رجب</t>
  </si>
  <si>
    <t>عبد الحميد ضاحي مصطفى احمد</t>
  </si>
  <si>
    <t>خلف إبراهيم محمد إبراهيم</t>
  </si>
  <si>
    <t>إسماعيل حسن احمد عبدالله</t>
  </si>
  <si>
    <t>احمد زكي احمد احمد</t>
  </si>
  <si>
    <t>سامح محي امين احمد</t>
  </si>
  <si>
    <t>حجاج عبدالله محمد عبدالرحمن</t>
  </si>
  <si>
    <t>محمد حسين محمد خالد</t>
  </si>
  <si>
    <t>خالد محمد علي العطيفي</t>
  </si>
  <si>
    <t>عمرو عبدالفتاح الريدي فتح الباب</t>
  </si>
  <si>
    <t>مراسل - محكمة البلدية</t>
  </si>
  <si>
    <t>سيد علي ابراهيم عبدالعظيم</t>
  </si>
  <si>
    <t>مراسل - مسجد الحسين بن طلال</t>
  </si>
  <si>
    <t>محمد احمد خالد احمد</t>
  </si>
  <si>
    <t>مراسل - البلدية - الادارة</t>
  </si>
  <si>
    <t>علاء علي حسين مخلوف</t>
  </si>
  <si>
    <t>احمد حسن توفيق حسن</t>
  </si>
  <si>
    <t>محمد جمال فتحي محمد</t>
  </si>
  <si>
    <t>رضا محمد عبدالفتاح ابوالخير</t>
  </si>
  <si>
    <t>وليد خلف عبدالحليم طلبة</t>
  </si>
  <si>
    <t>رضا محمد عبدالحميد مرسي</t>
  </si>
  <si>
    <t>باشر بتاريخ 20/11/2025</t>
  </si>
  <si>
    <t>إبراهيم مرسي كامل مرسي</t>
  </si>
  <si>
    <t>كامل احمد امين محمد</t>
  </si>
  <si>
    <t xml:space="preserve">الاشغال </t>
  </si>
  <si>
    <t>ياسر عيد عبدالوهاب علي</t>
  </si>
  <si>
    <t>محمد حسن عبدالعظيم الهادي</t>
  </si>
  <si>
    <t>محمد عيد وزير أحمد</t>
  </si>
  <si>
    <t>مراسل - مجلس المحافظة</t>
  </si>
  <si>
    <t>محروس بشرى مرزوق يوسف</t>
  </si>
  <si>
    <t>محمد خلف السيد علي</t>
  </si>
  <si>
    <t>علاء حسن رشاد عبدالله</t>
  </si>
  <si>
    <t>رضا خلف عبدالحميد السيد</t>
  </si>
  <si>
    <t>ياسر عيد محمد شحاته</t>
  </si>
  <si>
    <t xml:space="preserve">ابراهيم يوسف السيد </t>
  </si>
  <si>
    <t>مراسل - البلدية - خطاط</t>
  </si>
  <si>
    <t>محمود رشيد محمود رشيد</t>
  </si>
  <si>
    <t>الاشغال</t>
  </si>
  <si>
    <t>عاطف فانوس رزق بطرس</t>
  </si>
  <si>
    <t>عبدالله محمد محمد عبدالوهاب</t>
  </si>
  <si>
    <t>سيد رضا سيد عبدالهادي</t>
  </si>
  <si>
    <t>ياسر جمعه احمد علي</t>
  </si>
  <si>
    <t>محمود علي احمد علي</t>
  </si>
  <si>
    <t>ابوغنيمة سيد حسن محمد</t>
  </si>
  <si>
    <t>محروس جمعه احمد علي</t>
  </si>
  <si>
    <t>خالد جمال فتحي محمد</t>
  </si>
  <si>
    <t>عبدالمنعم صلاح راضي شحاته</t>
  </si>
  <si>
    <t>محمد خالد محمد عبدالحميد</t>
  </si>
  <si>
    <t>عمرو صلاح إسماعيل إبراهيم</t>
  </si>
  <si>
    <t>عثمان كساب عثمان طه</t>
  </si>
  <si>
    <t>محمد جمعة عيد عقل</t>
  </si>
  <si>
    <t>حمدي محمد احمد كامل</t>
  </si>
  <si>
    <t>احمد جمعه احمد علي</t>
  </si>
  <si>
    <t>محمود رضا السيد عبدالهادي</t>
  </si>
  <si>
    <t>مراسل - ديوان المحاسية</t>
  </si>
  <si>
    <t>عبدالرازق علي حسن حسين</t>
  </si>
  <si>
    <t>جمعه ابو غنيمه السيد جويلي</t>
  </si>
  <si>
    <t>خالد محمد عبدالحميد مرسي</t>
  </si>
  <si>
    <t>إبراهيم فتحي إبراهيم حسن</t>
  </si>
  <si>
    <t xml:space="preserve">امين عبدالفتاح علي سيف </t>
  </si>
  <si>
    <t>باشر بتاريخ 27/11/2025</t>
  </si>
  <si>
    <t>المبالغ</t>
  </si>
  <si>
    <t>مجموع الرواتب الأساسية</t>
  </si>
  <si>
    <t xml:space="preserve">مجموع الإضافي والاعياد والجمع </t>
  </si>
  <si>
    <t>المجمــــــــــــــــــــــــــــــــــوع</t>
  </si>
  <si>
    <t>مدير الموارد البشرية</t>
  </si>
  <si>
    <t>مدير الصحة</t>
  </si>
  <si>
    <t>المدير المالي</t>
  </si>
  <si>
    <t>مدير وحدة الرقابة</t>
  </si>
  <si>
    <t>عطوفة رئيس البلدية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</si>
</sst>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u val="double"/>
      <sz val="16"/>
      <color theme="1"/>
      <name val="Segoe UI"/>
      <family val="2"/>
      <charset val="178"/>
    </font>
    <font>
      <sz val="11"/>
      <color theme="1"/>
      <name val="Arial"/>
      <family val="2"/>
    </font>
    <font>
      <b/>
      <sz val="6"/>
      <color theme="1"/>
      <name val="Segoe UI"/>
      <family val="2"/>
      <charset val="178"/>
    </font>
    <font>
      <sz val="11"/>
      <color theme="1"/>
      <name val="Segoe UI"/>
      <family val="2"/>
    </font>
    <font>
      <sz val="6"/>
      <color theme="1"/>
      <name val="Segoe UI"/>
      <family val="2"/>
    </font>
    <font>
      <b/>
      <sz val="6"/>
      <color theme="1"/>
      <name val="Segoe UI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3" borderId="10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right" vertic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rightToLeft="1" tabSelected="1" topLeftCell="A70" workbookViewId="0">
      <selection activeCell="F92" sqref="F92"/>
    </sheetView>
  </sheetViews>
  <sheetFormatPr defaultColWidth="9.125" defaultRowHeight="14.25" x14ac:dyDescent="0.2"/>
  <cols>
    <col min="1" max="1" width="1.75" style="4" customWidth="1"/>
    <col min="2" max="2" width="3.25" style="44" bestFit="1" customWidth="1"/>
    <col min="3" max="3" width="5.125" style="44" bestFit="1" customWidth="1"/>
    <col min="4" max="4" width="19.25" style="45" bestFit="1" customWidth="1"/>
    <col min="5" max="8" width="4.75" style="46" customWidth="1"/>
    <col min="9" max="9" width="14.125" style="45" bestFit="1" customWidth="1"/>
    <col min="10" max="10" width="4.75" style="47" customWidth="1"/>
    <col min="11" max="11" width="10.875" style="45" bestFit="1" customWidth="1"/>
    <col min="12" max="13" width="4.75" style="47" customWidth="1"/>
    <col min="14" max="14" width="5.375" style="4" customWidth="1"/>
    <col min="15" max="16384" width="9.125" style="4"/>
  </cols>
  <sheetData>
    <row r="1" spans="2:13" ht="25.5" x14ac:dyDescent="0.2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2:13" ht="29.25" x14ac:dyDescent="0.2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12</v>
      </c>
    </row>
    <row r="3" spans="2:13" s="15" customFormat="1" ht="16.5" x14ac:dyDescent="0.3">
      <c r="B3" s="9">
        <v>1</v>
      </c>
      <c r="C3" s="10">
        <v>820</v>
      </c>
      <c r="D3" s="10" t="s">
        <v>13</v>
      </c>
      <c r="E3" s="11">
        <v>30</v>
      </c>
      <c r="F3" s="12">
        <v>2</v>
      </c>
      <c r="G3" s="11">
        <v>4</v>
      </c>
      <c r="H3" s="11"/>
      <c r="I3" s="10" t="s">
        <v>14</v>
      </c>
      <c r="J3" s="11">
        <v>8.25</v>
      </c>
      <c r="K3" s="13"/>
      <c r="L3" s="12">
        <f t="shared" ref="L3:L66" si="0">(F3*J3*0.5)+(G3*J3)+(H3*J3)</f>
        <v>41.25</v>
      </c>
      <c r="M3" s="14">
        <f t="shared" ref="M3:M66" si="1">E3*J3</f>
        <v>247.5</v>
      </c>
    </row>
    <row r="4" spans="2:13" s="15" customFormat="1" ht="16.5" x14ac:dyDescent="0.3">
      <c r="B4" s="9">
        <v>2</v>
      </c>
      <c r="C4" s="10">
        <v>828</v>
      </c>
      <c r="D4" s="10" t="s">
        <v>15</v>
      </c>
      <c r="E4" s="11">
        <v>30</v>
      </c>
      <c r="F4" s="12"/>
      <c r="G4" s="11">
        <v>4</v>
      </c>
      <c r="H4" s="12"/>
      <c r="I4" s="10" t="s">
        <v>16</v>
      </c>
      <c r="J4" s="11">
        <v>8.25</v>
      </c>
      <c r="K4" s="13"/>
      <c r="L4" s="12">
        <f t="shared" si="0"/>
        <v>33</v>
      </c>
      <c r="M4" s="14">
        <f t="shared" si="1"/>
        <v>247.5</v>
      </c>
    </row>
    <row r="5" spans="2:13" s="15" customFormat="1" ht="16.5" x14ac:dyDescent="0.3">
      <c r="B5" s="9">
        <v>3</v>
      </c>
      <c r="C5" s="10">
        <v>832</v>
      </c>
      <c r="D5" s="10" t="s">
        <v>17</v>
      </c>
      <c r="E5" s="11">
        <v>30</v>
      </c>
      <c r="F5" s="12">
        <v>10</v>
      </c>
      <c r="G5" s="11">
        <v>4</v>
      </c>
      <c r="H5" s="12"/>
      <c r="I5" s="10" t="s">
        <v>18</v>
      </c>
      <c r="J5" s="11">
        <v>9</v>
      </c>
      <c r="K5" s="13"/>
      <c r="L5" s="12">
        <f t="shared" si="0"/>
        <v>81</v>
      </c>
      <c r="M5" s="14">
        <f t="shared" si="1"/>
        <v>270</v>
      </c>
    </row>
    <row r="6" spans="2:13" s="15" customFormat="1" ht="16.5" x14ac:dyDescent="0.3">
      <c r="B6" s="9">
        <v>4</v>
      </c>
      <c r="C6" s="10">
        <v>833</v>
      </c>
      <c r="D6" s="10" t="s">
        <v>19</v>
      </c>
      <c r="E6" s="11">
        <v>30</v>
      </c>
      <c r="F6" s="12"/>
      <c r="G6" s="11">
        <v>4</v>
      </c>
      <c r="H6" s="11"/>
      <c r="I6" s="10" t="s">
        <v>14</v>
      </c>
      <c r="J6" s="11">
        <v>9</v>
      </c>
      <c r="K6" s="13"/>
      <c r="L6" s="12">
        <f t="shared" si="0"/>
        <v>36</v>
      </c>
      <c r="M6" s="14">
        <f t="shared" si="1"/>
        <v>270</v>
      </c>
    </row>
    <row r="7" spans="2:13" s="15" customFormat="1" ht="16.5" x14ac:dyDescent="0.3">
      <c r="B7" s="9">
        <v>5</v>
      </c>
      <c r="C7" s="10">
        <v>855</v>
      </c>
      <c r="D7" s="10" t="s">
        <v>20</v>
      </c>
      <c r="E7" s="11">
        <v>30</v>
      </c>
      <c r="F7" s="12"/>
      <c r="G7" s="11">
        <v>4</v>
      </c>
      <c r="H7" s="11"/>
      <c r="I7" s="10" t="s">
        <v>14</v>
      </c>
      <c r="J7" s="11">
        <v>9</v>
      </c>
      <c r="K7" s="13" t="s">
        <v>21</v>
      </c>
      <c r="L7" s="12">
        <f t="shared" si="0"/>
        <v>36</v>
      </c>
      <c r="M7" s="14">
        <f t="shared" si="1"/>
        <v>270</v>
      </c>
    </row>
    <row r="8" spans="2:13" s="15" customFormat="1" ht="16.5" x14ac:dyDescent="0.3">
      <c r="B8" s="9">
        <v>6</v>
      </c>
      <c r="C8" s="10">
        <v>856</v>
      </c>
      <c r="D8" s="10" t="s">
        <v>22</v>
      </c>
      <c r="E8" s="11">
        <v>30</v>
      </c>
      <c r="F8" s="12">
        <v>10</v>
      </c>
      <c r="G8" s="11">
        <v>4</v>
      </c>
      <c r="H8" s="11"/>
      <c r="I8" s="10" t="s">
        <v>23</v>
      </c>
      <c r="J8" s="11">
        <v>9</v>
      </c>
      <c r="K8" s="13"/>
      <c r="L8" s="12">
        <f t="shared" si="0"/>
        <v>81</v>
      </c>
      <c r="M8" s="14">
        <f t="shared" si="1"/>
        <v>270</v>
      </c>
    </row>
    <row r="9" spans="2:13" s="15" customFormat="1" ht="16.5" x14ac:dyDescent="0.3">
      <c r="B9" s="9">
        <v>7</v>
      </c>
      <c r="C9" s="10">
        <v>861</v>
      </c>
      <c r="D9" s="10" t="s">
        <v>24</v>
      </c>
      <c r="E9" s="11">
        <v>30</v>
      </c>
      <c r="F9" s="12">
        <v>2</v>
      </c>
      <c r="G9" s="11">
        <v>4</v>
      </c>
      <c r="H9" s="12"/>
      <c r="I9" s="10" t="s">
        <v>25</v>
      </c>
      <c r="J9" s="11">
        <v>8.25</v>
      </c>
      <c r="K9" s="13"/>
      <c r="L9" s="12">
        <f t="shared" si="0"/>
        <v>41.25</v>
      </c>
      <c r="M9" s="14">
        <f t="shared" si="1"/>
        <v>247.5</v>
      </c>
    </row>
    <row r="10" spans="2:13" s="15" customFormat="1" ht="16.5" x14ac:dyDescent="0.3">
      <c r="B10" s="9">
        <v>8</v>
      </c>
      <c r="C10" s="10">
        <v>899</v>
      </c>
      <c r="D10" s="10" t="s">
        <v>26</v>
      </c>
      <c r="E10" s="11">
        <v>30</v>
      </c>
      <c r="F10" s="12"/>
      <c r="G10" s="11">
        <v>4</v>
      </c>
      <c r="H10" s="12"/>
      <c r="I10" s="10" t="s">
        <v>27</v>
      </c>
      <c r="J10" s="11">
        <v>8.25</v>
      </c>
      <c r="K10" s="13"/>
      <c r="L10" s="12">
        <f t="shared" si="0"/>
        <v>33</v>
      </c>
      <c r="M10" s="14">
        <f t="shared" si="1"/>
        <v>247.5</v>
      </c>
    </row>
    <row r="11" spans="2:13" s="15" customFormat="1" ht="16.5" x14ac:dyDescent="0.3">
      <c r="B11" s="9">
        <v>9</v>
      </c>
      <c r="C11" s="10">
        <v>910</v>
      </c>
      <c r="D11" s="10" t="s">
        <v>28</v>
      </c>
      <c r="E11" s="11">
        <v>30</v>
      </c>
      <c r="F11" s="12">
        <v>4</v>
      </c>
      <c r="G11" s="11">
        <v>4</v>
      </c>
      <c r="H11" s="12"/>
      <c r="I11" s="10" t="s">
        <v>29</v>
      </c>
      <c r="J11" s="11">
        <v>9</v>
      </c>
      <c r="K11" s="13"/>
      <c r="L11" s="12">
        <f t="shared" si="0"/>
        <v>54</v>
      </c>
      <c r="M11" s="14">
        <f t="shared" si="1"/>
        <v>270</v>
      </c>
    </row>
    <row r="12" spans="2:13" s="15" customFormat="1" ht="16.5" x14ac:dyDescent="0.3">
      <c r="B12" s="9">
        <v>10</v>
      </c>
      <c r="C12" s="10">
        <v>930</v>
      </c>
      <c r="D12" s="10" t="s">
        <v>30</v>
      </c>
      <c r="E12" s="11">
        <v>30</v>
      </c>
      <c r="F12" s="12"/>
      <c r="G12" s="11">
        <v>4</v>
      </c>
      <c r="H12" s="11"/>
      <c r="I12" s="10" t="s">
        <v>14</v>
      </c>
      <c r="J12" s="11">
        <v>9</v>
      </c>
      <c r="K12" s="13"/>
      <c r="L12" s="12">
        <f t="shared" si="0"/>
        <v>36</v>
      </c>
      <c r="M12" s="14">
        <f t="shared" si="1"/>
        <v>270</v>
      </c>
    </row>
    <row r="13" spans="2:13" s="15" customFormat="1" ht="16.5" x14ac:dyDescent="0.3">
      <c r="B13" s="9">
        <v>11</v>
      </c>
      <c r="C13" s="10">
        <v>999</v>
      </c>
      <c r="D13" s="10" t="s">
        <v>31</v>
      </c>
      <c r="E13" s="11">
        <v>28</v>
      </c>
      <c r="F13" s="12"/>
      <c r="G13" s="11"/>
      <c r="H13" s="12"/>
      <c r="I13" s="10" t="s">
        <v>25</v>
      </c>
      <c r="J13" s="11">
        <v>8.25</v>
      </c>
      <c r="K13" s="13"/>
      <c r="L13" s="12">
        <f t="shared" si="0"/>
        <v>0</v>
      </c>
      <c r="M13" s="14">
        <f t="shared" si="1"/>
        <v>231</v>
      </c>
    </row>
    <row r="14" spans="2:13" s="15" customFormat="1" ht="16.5" x14ac:dyDescent="0.3">
      <c r="B14" s="9">
        <v>12</v>
      </c>
      <c r="C14" s="10">
        <v>1023</v>
      </c>
      <c r="D14" s="10" t="s">
        <v>32</v>
      </c>
      <c r="E14" s="11">
        <v>30</v>
      </c>
      <c r="F14" s="12">
        <v>14</v>
      </c>
      <c r="G14" s="11">
        <v>4</v>
      </c>
      <c r="H14" s="12"/>
      <c r="I14" s="10" t="s">
        <v>33</v>
      </c>
      <c r="J14" s="11">
        <v>8.25</v>
      </c>
      <c r="K14" s="13"/>
      <c r="L14" s="12">
        <f t="shared" si="0"/>
        <v>90.75</v>
      </c>
      <c r="M14" s="14">
        <f t="shared" si="1"/>
        <v>247.5</v>
      </c>
    </row>
    <row r="15" spans="2:13" s="15" customFormat="1" ht="16.5" x14ac:dyDescent="0.3">
      <c r="B15" s="9">
        <v>13</v>
      </c>
      <c r="C15" s="10">
        <v>1045</v>
      </c>
      <c r="D15" s="10" t="s">
        <v>34</v>
      </c>
      <c r="E15" s="11">
        <v>30</v>
      </c>
      <c r="F15" s="12">
        <v>12</v>
      </c>
      <c r="G15" s="11">
        <v>4</v>
      </c>
      <c r="H15" s="12"/>
      <c r="I15" s="10" t="s">
        <v>35</v>
      </c>
      <c r="J15" s="11">
        <v>8.25</v>
      </c>
      <c r="K15" s="13"/>
      <c r="L15" s="12">
        <f t="shared" si="0"/>
        <v>82.5</v>
      </c>
      <c r="M15" s="14">
        <f t="shared" si="1"/>
        <v>247.5</v>
      </c>
    </row>
    <row r="16" spans="2:13" s="15" customFormat="1" ht="16.5" x14ac:dyDescent="0.3">
      <c r="B16" s="9">
        <v>14</v>
      </c>
      <c r="C16" s="10">
        <v>1050</v>
      </c>
      <c r="D16" s="10" t="s">
        <v>36</v>
      </c>
      <c r="E16" s="11">
        <v>30</v>
      </c>
      <c r="F16" s="12">
        <v>10</v>
      </c>
      <c r="G16" s="11">
        <v>4</v>
      </c>
      <c r="H16" s="11"/>
      <c r="I16" s="10" t="s">
        <v>23</v>
      </c>
      <c r="J16" s="11">
        <v>8.25</v>
      </c>
      <c r="K16" s="13"/>
      <c r="L16" s="12">
        <f t="shared" si="0"/>
        <v>74.25</v>
      </c>
      <c r="M16" s="14">
        <f t="shared" si="1"/>
        <v>247.5</v>
      </c>
    </row>
    <row r="17" spans="2:13" s="15" customFormat="1" ht="16.5" x14ac:dyDescent="0.3">
      <c r="B17" s="9">
        <v>15</v>
      </c>
      <c r="C17" s="10">
        <v>1068</v>
      </c>
      <c r="D17" s="10" t="s">
        <v>37</v>
      </c>
      <c r="E17" s="11">
        <v>30</v>
      </c>
      <c r="F17" s="12">
        <v>2</v>
      </c>
      <c r="G17" s="11">
        <v>4</v>
      </c>
      <c r="H17" s="12"/>
      <c r="I17" s="10" t="s">
        <v>38</v>
      </c>
      <c r="J17" s="11">
        <v>9</v>
      </c>
      <c r="K17" s="13"/>
      <c r="L17" s="12">
        <f t="shared" si="0"/>
        <v>45</v>
      </c>
      <c r="M17" s="14">
        <f t="shared" si="1"/>
        <v>270</v>
      </c>
    </row>
    <row r="18" spans="2:13" s="15" customFormat="1" ht="16.5" x14ac:dyDescent="0.3">
      <c r="B18" s="9">
        <v>16</v>
      </c>
      <c r="C18" s="10">
        <v>1298</v>
      </c>
      <c r="D18" s="10" t="s">
        <v>39</v>
      </c>
      <c r="E18" s="11">
        <v>30</v>
      </c>
      <c r="F18" s="12">
        <v>8</v>
      </c>
      <c r="G18" s="11">
        <v>4</v>
      </c>
      <c r="H18" s="11"/>
      <c r="I18" s="10" t="s">
        <v>23</v>
      </c>
      <c r="J18" s="11">
        <v>9</v>
      </c>
      <c r="K18" s="13"/>
      <c r="L18" s="12">
        <f t="shared" si="0"/>
        <v>72</v>
      </c>
      <c r="M18" s="14">
        <f t="shared" si="1"/>
        <v>270</v>
      </c>
    </row>
    <row r="19" spans="2:13" s="15" customFormat="1" ht="16.5" x14ac:dyDescent="0.3">
      <c r="B19" s="9">
        <v>17</v>
      </c>
      <c r="C19" s="10">
        <v>1311</v>
      </c>
      <c r="D19" s="10" t="s">
        <v>40</v>
      </c>
      <c r="E19" s="11">
        <v>30</v>
      </c>
      <c r="F19" s="12"/>
      <c r="G19" s="11">
        <v>4</v>
      </c>
      <c r="H19" s="11"/>
      <c r="I19" s="10" t="s">
        <v>14</v>
      </c>
      <c r="J19" s="11">
        <v>8.25</v>
      </c>
      <c r="K19" s="13"/>
      <c r="L19" s="12">
        <f t="shared" si="0"/>
        <v>33</v>
      </c>
      <c r="M19" s="14">
        <f t="shared" si="1"/>
        <v>247.5</v>
      </c>
    </row>
    <row r="20" spans="2:13" s="15" customFormat="1" ht="16.5" x14ac:dyDescent="0.3">
      <c r="B20" s="9">
        <v>18</v>
      </c>
      <c r="C20" s="10">
        <v>1357</v>
      </c>
      <c r="D20" s="10" t="s">
        <v>41</v>
      </c>
      <c r="E20" s="11">
        <v>30</v>
      </c>
      <c r="F20" s="12">
        <v>14</v>
      </c>
      <c r="G20" s="11">
        <v>4</v>
      </c>
      <c r="H20" s="12"/>
      <c r="I20" s="10" t="s">
        <v>33</v>
      </c>
      <c r="J20" s="11">
        <v>9</v>
      </c>
      <c r="K20" s="13"/>
      <c r="L20" s="12">
        <f t="shared" si="0"/>
        <v>99</v>
      </c>
      <c r="M20" s="14">
        <f t="shared" si="1"/>
        <v>270</v>
      </c>
    </row>
    <row r="21" spans="2:13" s="15" customFormat="1" ht="16.5" x14ac:dyDescent="0.3">
      <c r="B21" s="9">
        <v>19</v>
      </c>
      <c r="C21" s="10">
        <v>1421</v>
      </c>
      <c r="D21" s="10" t="s">
        <v>42</v>
      </c>
      <c r="E21" s="11">
        <v>30</v>
      </c>
      <c r="F21" s="12"/>
      <c r="G21" s="11">
        <v>4</v>
      </c>
      <c r="H21" s="12"/>
      <c r="I21" s="10" t="s">
        <v>18</v>
      </c>
      <c r="J21" s="11">
        <v>9</v>
      </c>
      <c r="K21" s="13"/>
      <c r="L21" s="12">
        <f t="shared" si="0"/>
        <v>36</v>
      </c>
      <c r="M21" s="14">
        <f t="shared" si="1"/>
        <v>270</v>
      </c>
    </row>
    <row r="22" spans="2:13" s="15" customFormat="1" ht="16.5" x14ac:dyDescent="0.3">
      <c r="B22" s="9">
        <v>20</v>
      </c>
      <c r="C22" s="10">
        <v>1440</v>
      </c>
      <c r="D22" s="10" t="s">
        <v>43</v>
      </c>
      <c r="E22" s="11">
        <v>30</v>
      </c>
      <c r="F22" s="12">
        <v>10</v>
      </c>
      <c r="G22" s="11">
        <v>4</v>
      </c>
      <c r="H22" s="12"/>
      <c r="I22" s="10" t="s">
        <v>27</v>
      </c>
      <c r="J22" s="11">
        <v>8.25</v>
      </c>
      <c r="K22" s="13"/>
      <c r="L22" s="12">
        <f t="shared" si="0"/>
        <v>74.25</v>
      </c>
      <c r="M22" s="14">
        <f t="shared" si="1"/>
        <v>247.5</v>
      </c>
    </row>
    <row r="23" spans="2:13" s="15" customFormat="1" ht="16.5" x14ac:dyDescent="0.3">
      <c r="B23" s="9">
        <v>21</v>
      </c>
      <c r="C23" s="10">
        <v>3004</v>
      </c>
      <c r="D23" s="10" t="s">
        <v>44</v>
      </c>
      <c r="E23" s="11">
        <v>30</v>
      </c>
      <c r="F23" s="12">
        <v>8</v>
      </c>
      <c r="G23" s="11">
        <v>4</v>
      </c>
      <c r="H23" s="12"/>
      <c r="I23" s="10" t="s">
        <v>25</v>
      </c>
      <c r="J23" s="11">
        <v>8.25</v>
      </c>
      <c r="K23" s="13"/>
      <c r="L23" s="12">
        <f t="shared" si="0"/>
        <v>66</v>
      </c>
      <c r="M23" s="14">
        <f t="shared" si="1"/>
        <v>247.5</v>
      </c>
    </row>
    <row r="24" spans="2:13" s="15" customFormat="1" ht="16.5" x14ac:dyDescent="0.3">
      <c r="B24" s="9">
        <v>22</v>
      </c>
      <c r="C24" s="10">
        <v>3006</v>
      </c>
      <c r="D24" s="10" t="s">
        <v>45</v>
      </c>
      <c r="E24" s="11">
        <v>30</v>
      </c>
      <c r="F24" s="12"/>
      <c r="G24" s="11">
        <v>4</v>
      </c>
      <c r="H24" s="12"/>
      <c r="I24" s="10" t="s">
        <v>29</v>
      </c>
      <c r="J24" s="11">
        <v>9</v>
      </c>
      <c r="K24" s="13"/>
      <c r="L24" s="12">
        <f t="shared" si="0"/>
        <v>36</v>
      </c>
      <c r="M24" s="14">
        <f t="shared" si="1"/>
        <v>270</v>
      </c>
    </row>
    <row r="25" spans="2:13" s="15" customFormat="1" ht="16.5" x14ac:dyDescent="0.3">
      <c r="B25" s="9">
        <v>23</v>
      </c>
      <c r="C25" s="10">
        <v>3015</v>
      </c>
      <c r="D25" s="10" t="s">
        <v>46</v>
      </c>
      <c r="E25" s="11">
        <v>30</v>
      </c>
      <c r="F25" s="12"/>
      <c r="G25" s="11">
        <v>4</v>
      </c>
      <c r="H25" s="12"/>
      <c r="I25" s="10" t="s">
        <v>35</v>
      </c>
      <c r="J25" s="11">
        <v>9</v>
      </c>
      <c r="K25" s="13"/>
      <c r="L25" s="12">
        <f t="shared" si="0"/>
        <v>36</v>
      </c>
      <c r="M25" s="14">
        <f t="shared" si="1"/>
        <v>270</v>
      </c>
    </row>
    <row r="26" spans="2:13" s="15" customFormat="1" ht="16.5" x14ac:dyDescent="0.3">
      <c r="B26" s="9">
        <v>24</v>
      </c>
      <c r="C26" s="10">
        <v>3017</v>
      </c>
      <c r="D26" s="10" t="s">
        <v>47</v>
      </c>
      <c r="E26" s="11">
        <v>30</v>
      </c>
      <c r="F26" s="12">
        <v>10</v>
      </c>
      <c r="G26" s="11">
        <v>4</v>
      </c>
      <c r="H26" s="12"/>
      <c r="I26" s="10" t="s">
        <v>27</v>
      </c>
      <c r="J26" s="11">
        <v>8.25</v>
      </c>
      <c r="K26" s="13"/>
      <c r="L26" s="12">
        <f t="shared" si="0"/>
        <v>74.25</v>
      </c>
      <c r="M26" s="14">
        <f t="shared" si="1"/>
        <v>247.5</v>
      </c>
    </row>
    <row r="27" spans="2:13" s="15" customFormat="1" ht="16.5" x14ac:dyDescent="0.3">
      <c r="B27" s="9">
        <v>25</v>
      </c>
      <c r="C27" s="10">
        <v>3018</v>
      </c>
      <c r="D27" s="10" t="s">
        <v>48</v>
      </c>
      <c r="E27" s="11">
        <v>30</v>
      </c>
      <c r="F27" s="12">
        <v>4</v>
      </c>
      <c r="G27" s="11">
        <v>4</v>
      </c>
      <c r="H27" s="12"/>
      <c r="I27" s="10" t="s">
        <v>35</v>
      </c>
      <c r="J27" s="11">
        <v>9</v>
      </c>
      <c r="K27" s="13"/>
      <c r="L27" s="12">
        <f t="shared" si="0"/>
        <v>54</v>
      </c>
      <c r="M27" s="14">
        <f t="shared" si="1"/>
        <v>270</v>
      </c>
    </row>
    <row r="28" spans="2:13" s="15" customFormat="1" ht="16.5" x14ac:dyDescent="0.3">
      <c r="B28" s="9">
        <v>26</v>
      </c>
      <c r="C28" s="10">
        <v>3019</v>
      </c>
      <c r="D28" s="10" t="s">
        <v>49</v>
      </c>
      <c r="E28" s="11">
        <v>30</v>
      </c>
      <c r="F28" s="12">
        <v>8</v>
      </c>
      <c r="G28" s="11">
        <v>4</v>
      </c>
      <c r="H28" s="12"/>
      <c r="I28" s="10" t="s">
        <v>27</v>
      </c>
      <c r="J28" s="11">
        <v>9</v>
      </c>
      <c r="K28" s="13"/>
      <c r="L28" s="12">
        <f t="shared" si="0"/>
        <v>72</v>
      </c>
      <c r="M28" s="14">
        <f t="shared" si="1"/>
        <v>270</v>
      </c>
    </row>
    <row r="29" spans="2:13" s="15" customFormat="1" ht="16.5" x14ac:dyDescent="0.3">
      <c r="B29" s="9">
        <v>27</v>
      </c>
      <c r="C29" s="10">
        <v>3020</v>
      </c>
      <c r="D29" s="10" t="s">
        <v>50</v>
      </c>
      <c r="E29" s="11">
        <v>30</v>
      </c>
      <c r="F29" s="12"/>
      <c r="G29" s="11">
        <v>3</v>
      </c>
      <c r="H29" s="11"/>
      <c r="I29" s="10" t="s">
        <v>14</v>
      </c>
      <c r="J29" s="11">
        <v>9</v>
      </c>
      <c r="K29" s="13"/>
      <c r="L29" s="12">
        <f t="shared" si="0"/>
        <v>27</v>
      </c>
      <c r="M29" s="14">
        <f t="shared" si="1"/>
        <v>270</v>
      </c>
    </row>
    <row r="30" spans="2:13" s="15" customFormat="1" ht="16.5" x14ac:dyDescent="0.3">
      <c r="B30" s="9">
        <v>28</v>
      </c>
      <c r="C30" s="10">
        <v>3022</v>
      </c>
      <c r="D30" s="10" t="s">
        <v>51</v>
      </c>
      <c r="E30" s="11">
        <v>30</v>
      </c>
      <c r="F30" s="12"/>
      <c r="G30" s="11">
        <v>4</v>
      </c>
      <c r="H30" s="12"/>
      <c r="I30" s="10" t="s">
        <v>29</v>
      </c>
      <c r="J30" s="11">
        <v>8.25</v>
      </c>
      <c r="K30" s="13"/>
      <c r="L30" s="12">
        <f t="shared" si="0"/>
        <v>33</v>
      </c>
      <c r="M30" s="14">
        <f t="shared" si="1"/>
        <v>247.5</v>
      </c>
    </row>
    <row r="31" spans="2:13" s="15" customFormat="1" ht="16.5" x14ac:dyDescent="0.3">
      <c r="B31" s="9">
        <v>29</v>
      </c>
      <c r="C31" s="10">
        <v>3026</v>
      </c>
      <c r="D31" s="10" t="s">
        <v>52</v>
      </c>
      <c r="E31" s="11">
        <v>30</v>
      </c>
      <c r="F31" s="12">
        <v>8</v>
      </c>
      <c r="G31" s="11">
        <v>4</v>
      </c>
      <c r="H31" s="11"/>
      <c r="I31" s="10" t="s">
        <v>23</v>
      </c>
      <c r="J31" s="11">
        <v>9</v>
      </c>
      <c r="K31" s="13"/>
      <c r="L31" s="12">
        <f t="shared" si="0"/>
        <v>72</v>
      </c>
      <c r="M31" s="14">
        <f t="shared" si="1"/>
        <v>270</v>
      </c>
    </row>
    <row r="32" spans="2:13" s="15" customFormat="1" ht="16.5" x14ac:dyDescent="0.3">
      <c r="B32" s="9">
        <v>30</v>
      </c>
      <c r="C32" s="10">
        <v>3039</v>
      </c>
      <c r="D32" s="10" t="s">
        <v>53</v>
      </c>
      <c r="E32" s="11">
        <v>30</v>
      </c>
      <c r="F32" s="12">
        <v>10</v>
      </c>
      <c r="G32" s="11">
        <v>4</v>
      </c>
      <c r="H32" s="12"/>
      <c r="I32" s="10" t="s">
        <v>27</v>
      </c>
      <c r="J32" s="11">
        <v>8.25</v>
      </c>
      <c r="K32" s="13"/>
      <c r="L32" s="12">
        <f t="shared" si="0"/>
        <v>74.25</v>
      </c>
      <c r="M32" s="14">
        <f t="shared" si="1"/>
        <v>247.5</v>
      </c>
    </row>
    <row r="33" spans="2:13" s="15" customFormat="1" ht="16.5" x14ac:dyDescent="0.3">
      <c r="B33" s="9">
        <v>31</v>
      </c>
      <c r="C33" s="10">
        <v>3042</v>
      </c>
      <c r="D33" s="10" t="s">
        <v>54</v>
      </c>
      <c r="E33" s="11">
        <v>30</v>
      </c>
      <c r="F33" s="12"/>
      <c r="G33" s="11"/>
      <c r="H33" s="11"/>
      <c r="I33" s="10" t="s">
        <v>23</v>
      </c>
      <c r="J33" s="11">
        <v>8.25</v>
      </c>
      <c r="K33" s="13"/>
      <c r="L33" s="12">
        <f t="shared" si="0"/>
        <v>0</v>
      </c>
      <c r="M33" s="14">
        <f t="shared" si="1"/>
        <v>247.5</v>
      </c>
    </row>
    <row r="34" spans="2:13" s="15" customFormat="1" ht="16.5" x14ac:dyDescent="0.3">
      <c r="B34" s="9">
        <v>32</v>
      </c>
      <c r="C34" s="10">
        <v>3048</v>
      </c>
      <c r="D34" s="10" t="s">
        <v>55</v>
      </c>
      <c r="E34" s="11">
        <v>30</v>
      </c>
      <c r="F34" s="12"/>
      <c r="G34" s="11">
        <v>4</v>
      </c>
      <c r="H34" s="12"/>
      <c r="I34" s="10" t="s">
        <v>29</v>
      </c>
      <c r="J34" s="11">
        <v>9</v>
      </c>
      <c r="K34" s="13"/>
      <c r="L34" s="12">
        <f t="shared" si="0"/>
        <v>36</v>
      </c>
      <c r="M34" s="14">
        <f t="shared" si="1"/>
        <v>270</v>
      </c>
    </row>
    <row r="35" spans="2:13" s="15" customFormat="1" ht="16.5" x14ac:dyDescent="0.3">
      <c r="B35" s="9">
        <v>33</v>
      </c>
      <c r="C35" s="10">
        <v>3049</v>
      </c>
      <c r="D35" s="10" t="s">
        <v>56</v>
      </c>
      <c r="E35" s="11">
        <v>30</v>
      </c>
      <c r="F35" s="12">
        <v>10</v>
      </c>
      <c r="G35" s="11">
        <v>4</v>
      </c>
      <c r="H35" s="12"/>
      <c r="I35" s="10" t="s">
        <v>18</v>
      </c>
      <c r="J35" s="11">
        <v>9</v>
      </c>
      <c r="K35" s="13"/>
      <c r="L35" s="12">
        <f t="shared" si="0"/>
        <v>81</v>
      </c>
      <c r="M35" s="14">
        <f t="shared" si="1"/>
        <v>270</v>
      </c>
    </row>
    <row r="36" spans="2:13" s="15" customFormat="1" ht="16.5" x14ac:dyDescent="0.3">
      <c r="B36" s="9">
        <v>34</v>
      </c>
      <c r="C36" s="10">
        <v>3052</v>
      </c>
      <c r="D36" s="10" t="s">
        <v>57</v>
      </c>
      <c r="E36" s="11">
        <v>30</v>
      </c>
      <c r="F36" s="12">
        <v>12</v>
      </c>
      <c r="G36" s="11">
        <v>4</v>
      </c>
      <c r="H36" s="12"/>
      <c r="I36" s="10" t="s">
        <v>58</v>
      </c>
      <c r="J36" s="11">
        <v>8.25</v>
      </c>
      <c r="K36" s="13"/>
      <c r="L36" s="12">
        <f t="shared" si="0"/>
        <v>82.5</v>
      </c>
      <c r="M36" s="14">
        <f t="shared" si="1"/>
        <v>247.5</v>
      </c>
    </row>
    <row r="37" spans="2:13" s="15" customFormat="1" ht="16.5" x14ac:dyDescent="0.3">
      <c r="B37" s="9">
        <v>35</v>
      </c>
      <c r="C37" s="10">
        <v>3054</v>
      </c>
      <c r="D37" s="10" t="s">
        <v>59</v>
      </c>
      <c r="E37" s="11">
        <v>30</v>
      </c>
      <c r="F37" s="12"/>
      <c r="G37" s="11">
        <v>4</v>
      </c>
      <c r="H37" s="11"/>
      <c r="I37" s="10" t="s">
        <v>14</v>
      </c>
      <c r="J37" s="11">
        <v>8.25</v>
      </c>
      <c r="K37" s="13"/>
      <c r="L37" s="12">
        <f t="shared" si="0"/>
        <v>33</v>
      </c>
      <c r="M37" s="14">
        <f t="shared" si="1"/>
        <v>247.5</v>
      </c>
    </row>
    <row r="38" spans="2:13" s="15" customFormat="1" ht="16.5" x14ac:dyDescent="0.3">
      <c r="B38" s="9">
        <v>36</v>
      </c>
      <c r="C38" s="10">
        <v>3055</v>
      </c>
      <c r="D38" s="10" t="s">
        <v>60</v>
      </c>
      <c r="E38" s="11">
        <v>30</v>
      </c>
      <c r="F38" s="12">
        <v>10</v>
      </c>
      <c r="G38" s="11">
        <v>4</v>
      </c>
      <c r="H38" s="11"/>
      <c r="I38" s="10" t="s">
        <v>14</v>
      </c>
      <c r="J38" s="11">
        <v>9</v>
      </c>
      <c r="K38" s="13"/>
      <c r="L38" s="12">
        <f t="shared" si="0"/>
        <v>81</v>
      </c>
      <c r="M38" s="14">
        <f t="shared" si="1"/>
        <v>270</v>
      </c>
    </row>
    <row r="39" spans="2:13" s="15" customFormat="1" ht="16.5" x14ac:dyDescent="0.3">
      <c r="B39" s="9">
        <v>37</v>
      </c>
      <c r="C39" s="10">
        <v>3057</v>
      </c>
      <c r="D39" s="10" t="s">
        <v>61</v>
      </c>
      <c r="E39" s="11">
        <v>30</v>
      </c>
      <c r="F39" s="12"/>
      <c r="G39" s="11">
        <v>4</v>
      </c>
      <c r="H39" s="11"/>
      <c r="I39" s="10" t="s">
        <v>14</v>
      </c>
      <c r="J39" s="11">
        <v>9</v>
      </c>
      <c r="K39" s="13"/>
      <c r="L39" s="12">
        <f t="shared" si="0"/>
        <v>36</v>
      </c>
      <c r="M39" s="14">
        <f t="shared" si="1"/>
        <v>270</v>
      </c>
    </row>
    <row r="40" spans="2:13" s="15" customFormat="1" ht="16.5" x14ac:dyDescent="0.3">
      <c r="B40" s="9">
        <v>38</v>
      </c>
      <c r="C40" s="10">
        <v>3059</v>
      </c>
      <c r="D40" s="10" t="s">
        <v>62</v>
      </c>
      <c r="E40" s="11">
        <v>30</v>
      </c>
      <c r="F40" s="12"/>
      <c r="G40" s="11">
        <v>4</v>
      </c>
      <c r="H40" s="11"/>
      <c r="I40" s="10" t="s">
        <v>14</v>
      </c>
      <c r="J40" s="11">
        <v>8.25</v>
      </c>
      <c r="K40" s="13"/>
      <c r="L40" s="12">
        <f t="shared" si="0"/>
        <v>33</v>
      </c>
      <c r="M40" s="14">
        <f t="shared" si="1"/>
        <v>247.5</v>
      </c>
    </row>
    <row r="41" spans="2:13" s="15" customFormat="1" ht="16.5" x14ac:dyDescent="0.3">
      <c r="B41" s="9">
        <v>39</v>
      </c>
      <c r="C41" s="10">
        <v>3060</v>
      </c>
      <c r="D41" s="10" t="s">
        <v>63</v>
      </c>
      <c r="E41" s="11">
        <v>30</v>
      </c>
      <c r="F41" s="12">
        <v>10</v>
      </c>
      <c r="G41" s="11">
        <v>4</v>
      </c>
      <c r="H41" s="11"/>
      <c r="I41" s="10" t="s">
        <v>14</v>
      </c>
      <c r="J41" s="11">
        <v>9</v>
      </c>
      <c r="K41" s="13"/>
      <c r="L41" s="12">
        <f t="shared" si="0"/>
        <v>81</v>
      </c>
      <c r="M41" s="14">
        <f t="shared" si="1"/>
        <v>270</v>
      </c>
    </row>
    <row r="42" spans="2:13" s="15" customFormat="1" ht="16.5" x14ac:dyDescent="0.3">
      <c r="B42" s="9">
        <v>40</v>
      </c>
      <c r="C42" s="10">
        <v>3066</v>
      </c>
      <c r="D42" s="10" t="s">
        <v>64</v>
      </c>
      <c r="E42" s="11">
        <v>30</v>
      </c>
      <c r="F42" s="12"/>
      <c r="G42" s="11">
        <v>4</v>
      </c>
      <c r="H42" s="11"/>
      <c r="I42" s="10" t="s">
        <v>14</v>
      </c>
      <c r="J42" s="11">
        <v>8.25</v>
      </c>
      <c r="K42" s="13"/>
      <c r="L42" s="12">
        <f t="shared" si="0"/>
        <v>33</v>
      </c>
      <c r="M42" s="14">
        <f t="shared" si="1"/>
        <v>247.5</v>
      </c>
    </row>
    <row r="43" spans="2:13" s="15" customFormat="1" ht="16.5" x14ac:dyDescent="0.3">
      <c r="B43" s="9">
        <v>41</v>
      </c>
      <c r="C43" s="10">
        <v>3073</v>
      </c>
      <c r="D43" s="10" t="s">
        <v>65</v>
      </c>
      <c r="E43" s="11">
        <v>30</v>
      </c>
      <c r="F43" s="12">
        <v>10</v>
      </c>
      <c r="G43" s="11">
        <v>4</v>
      </c>
      <c r="H43" s="11"/>
      <c r="I43" s="10" t="s">
        <v>14</v>
      </c>
      <c r="J43" s="11">
        <v>8.25</v>
      </c>
      <c r="K43" s="13"/>
      <c r="L43" s="12">
        <f t="shared" si="0"/>
        <v>74.25</v>
      </c>
      <c r="M43" s="14">
        <f t="shared" si="1"/>
        <v>247.5</v>
      </c>
    </row>
    <row r="44" spans="2:13" s="15" customFormat="1" ht="16.5" x14ac:dyDescent="0.3">
      <c r="B44" s="9">
        <v>42</v>
      </c>
      <c r="C44" s="10">
        <v>3080</v>
      </c>
      <c r="D44" s="10" t="s">
        <v>66</v>
      </c>
      <c r="E44" s="11">
        <v>30</v>
      </c>
      <c r="F44" s="12"/>
      <c r="G44" s="11">
        <v>4</v>
      </c>
      <c r="H44" s="12"/>
      <c r="I44" s="10" t="s">
        <v>27</v>
      </c>
      <c r="J44" s="11">
        <v>9</v>
      </c>
      <c r="K44" s="13"/>
      <c r="L44" s="12">
        <f t="shared" si="0"/>
        <v>36</v>
      </c>
      <c r="M44" s="14">
        <f t="shared" si="1"/>
        <v>270</v>
      </c>
    </row>
    <row r="45" spans="2:13" s="15" customFormat="1" ht="16.5" x14ac:dyDescent="0.3">
      <c r="B45" s="9">
        <v>43</v>
      </c>
      <c r="C45" s="10">
        <v>3082</v>
      </c>
      <c r="D45" s="10" t="s">
        <v>67</v>
      </c>
      <c r="E45" s="11">
        <v>30</v>
      </c>
      <c r="F45" s="12"/>
      <c r="G45" s="11"/>
      <c r="H45" s="12"/>
      <c r="I45" s="10" t="s">
        <v>25</v>
      </c>
      <c r="J45" s="11">
        <v>9</v>
      </c>
      <c r="K45" s="13"/>
      <c r="L45" s="12">
        <f t="shared" si="0"/>
        <v>0</v>
      </c>
      <c r="M45" s="14">
        <f t="shared" si="1"/>
        <v>270</v>
      </c>
    </row>
    <row r="46" spans="2:13" s="15" customFormat="1" ht="16.5" x14ac:dyDescent="0.3">
      <c r="B46" s="9">
        <v>44</v>
      </c>
      <c r="C46" s="10">
        <v>3083</v>
      </c>
      <c r="D46" s="10" t="s">
        <v>68</v>
      </c>
      <c r="E46" s="11">
        <v>30</v>
      </c>
      <c r="F46" s="12"/>
      <c r="G46" s="11">
        <v>4</v>
      </c>
      <c r="H46" s="12"/>
      <c r="I46" s="10" t="s">
        <v>16</v>
      </c>
      <c r="J46" s="11">
        <v>9</v>
      </c>
      <c r="K46" s="13"/>
      <c r="L46" s="12">
        <f t="shared" si="0"/>
        <v>36</v>
      </c>
      <c r="M46" s="14">
        <f t="shared" si="1"/>
        <v>270</v>
      </c>
    </row>
    <row r="47" spans="2:13" s="15" customFormat="1" ht="16.5" x14ac:dyDescent="0.3">
      <c r="B47" s="9">
        <v>45</v>
      </c>
      <c r="C47" s="10">
        <v>3085</v>
      </c>
      <c r="D47" s="10" t="s">
        <v>69</v>
      </c>
      <c r="E47" s="11">
        <v>30</v>
      </c>
      <c r="F47" s="12">
        <v>10</v>
      </c>
      <c r="G47" s="11">
        <v>4</v>
      </c>
      <c r="H47" s="12"/>
      <c r="I47" s="10" t="s">
        <v>33</v>
      </c>
      <c r="J47" s="11">
        <v>8.25</v>
      </c>
      <c r="K47" s="13"/>
      <c r="L47" s="12">
        <f t="shared" si="0"/>
        <v>74.25</v>
      </c>
      <c r="M47" s="14">
        <f t="shared" si="1"/>
        <v>247.5</v>
      </c>
    </row>
    <row r="48" spans="2:13" s="15" customFormat="1" ht="16.5" x14ac:dyDescent="0.3">
      <c r="B48" s="9">
        <v>46</v>
      </c>
      <c r="C48" s="10">
        <v>3093</v>
      </c>
      <c r="D48" s="10" t="s">
        <v>70</v>
      </c>
      <c r="E48" s="11">
        <v>30</v>
      </c>
      <c r="F48" s="12">
        <v>10</v>
      </c>
      <c r="G48" s="11">
        <v>4</v>
      </c>
      <c r="H48" s="11"/>
      <c r="I48" s="10" t="s">
        <v>14</v>
      </c>
      <c r="J48" s="11">
        <v>9</v>
      </c>
      <c r="K48" s="13"/>
      <c r="L48" s="12">
        <f t="shared" si="0"/>
        <v>81</v>
      </c>
      <c r="M48" s="14">
        <f t="shared" si="1"/>
        <v>270</v>
      </c>
    </row>
    <row r="49" spans="2:13" s="15" customFormat="1" ht="16.5" x14ac:dyDescent="0.3">
      <c r="B49" s="9">
        <v>47</v>
      </c>
      <c r="C49" s="10">
        <v>4004</v>
      </c>
      <c r="D49" s="10" t="s">
        <v>71</v>
      </c>
      <c r="E49" s="11">
        <v>30</v>
      </c>
      <c r="F49" s="12">
        <v>14</v>
      </c>
      <c r="G49" s="11">
        <v>4</v>
      </c>
      <c r="H49" s="12"/>
      <c r="I49" s="10" t="s">
        <v>33</v>
      </c>
      <c r="J49" s="11">
        <v>9</v>
      </c>
      <c r="K49" s="13"/>
      <c r="L49" s="12">
        <f t="shared" si="0"/>
        <v>99</v>
      </c>
      <c r="M49" s="14">
        <f t="shared" si="1"/>
        <v>270</v>
      </c>
    </row>
    <row r="50" spans="2:13" s="15" customFormat="1" ht="16.5" x14ac:dyDescent="0.3">
      <c r="B50" s="9">
        <v>48</v>
      </c>
      <c r="C50" s="10">
        <v>4006</v>
      </c>
      <c r="D50" s="10" t="s">
        <v>72</v>
      </c>
      <c r="E50" s="11">
        <v>30</v>
      </c>
      <c r="F50" s="12"/>
      <c r="G50" s="11">
        <v>4</v>
      </c>
      <c r="H50" s="11"/>
      <c r="I50" s="10" t="s">
        <v>14</v>
      </c>
      <c r="J50" s="11">
        <v>9</v>
      </c>
      <c r="K50" s="13"/>
      <c r="L50" s="12">
        <f t="shared" si="0"/>
        <v>36</v>
      </c>
      <c r="M50" s="14">
        <f t="shared" si="1"/>
        <v>270</v>
      </c>
    </row>
    <row r="51" spans="2:13" s="15" customFormat="1" ht="16.5" x14ac:dyDescent="0.3">
      <c r="B51" s="9">
        <v>49</v>
      </c>
      <c r="C51" s="10">
        <v>4009</v>
      </c>
      <c r="D51" s="10" t="s">
        <v>73</v>
      </c>
      <c r="E51" s="11">
        <v>30</v>
      </c>
      <c r="F51" s="12"/>
      <c r="G51" s="11"/>
      <c r="H51" s="12"/>
      <c r="I51" s="10" t="s">
        <v>74</v>
      </c>
      <c r="J51" s="11">
        <v>9</v>
      </c>
      <c r="K51" s="13"/>
      <c r="L51" s="12">
        <f t="shared" si="0"/>
        <v>0</v>
      </c>
      <c r="M51" s="14">
        <f t="shared" si="1"/>
        <v>270</v>
      </c>
    </row>
    <row r="52" spans="2:13" s="15" customFormat="1" ht="16.5" x14ac:dyDescent="0.3">
      <c r="B52" s="9">
        <v>50</v>
      </c>
      <c r="C52" s="10">
        <v>4012</v>
      </c>
      <c r="D52" s="10" t="s">
        <v>75</v>
      </c>
      <c r="E52" s="11">
        <v>30</v>
      </c>
      <c r="F52" s="12"/>
      <c r="G52" s="11"/>
      <c r="H52" s="12"/>
      <c r="I52" s="10" t="s">
        <v>76</v>
      </c>
      <c r="J52" s="11">
        <v>8.25</v>
      </c>
      <c r="K52" s="13"/>
      <c r="L52" s="12">
        <f t="shared" si="0"/>
        <v>0</v>
      </c>
      <c r="M52" s="14">
        <f t="shared" si="1"/>
        <v>247.5</v>
      </c>
    </row>
    <row r="53" spans="2:13" s="15" customFormat="1" ht="16.5" x14ac:dyDescent="0.3">
      <c r="B53" s="9">
        <v>51</v>
      </c>
      <c r="C53" s="10">
        <v>4013</v>
      </c>
      <c r="D53" s="10" t="s">
        <v>77</v>
      </c>
      <c r="E53" s="11">
        <v>30</v>
      </c>
      <c r="F53" s="12">
        <v>15</v>
      </c>
      <c r="G53" s="11"/>
      <c r="H53" s="12"/>
      <c r="I53" s="10" t="s">
        <v>78</v>
      </c>
      <c r="J53" s="11">
        <v>9</v>
      </c>
      <c r="K53" s="13"/>
      <c r="L53" s="12">
        <f t="shared" si="0"/>
        <v>67.5</v>
      </c>
      <c r="M53" s="14">
        <f t="shared" si="1"/>
        <v>270</v>
      </c>
    </row>
    <row r="54" spans="2:13" s="15" customFormat="1" ht="16.5" x14ac:dyDescent="0.3">
      <c r="B54" s="9">
        <v>52</v>
      </c>
      <c r="C54" s="10">
        <v>4015</v>
      </c>
      <c r="D54" s="10" t="s">
        <v>79</v>
      </c>
      <c r="E54" s="11">
        <v>30</v>
      </c>
      <c r="F54" s="12">
        <v>10</v>
      </c>
      <c r="G54" s="11">
        <v>4</v>
      </c>
      <c r="H54" s="12"/>
      <c r="I54" s="10" t="s">
        <v>78</v>
      </c>
      <c r="J54" s="11">
        <v>9</v>
      </c>
      <c r="K54" s="13"/>
      <c r="L54" s="12">
        <f t="shared" si="0"/>
        <v>81</v>
      </c>
      <c r="M54" s="14">
        <f t="shared" si="1"/>
        <v>270</v>
      </c>
    </row>
    <row r="55" spans="2:13" s="15" customFormat="1" ht="16.5" x14ac:dyDescent="0.3">
      <c r="B55" s="9">
        <v>53</v>
      </c>
      <c r="C55" s="10">
        <v>4017</v>
      </c>
      <c r="D55" s="10" t="s">
        <v>80</v>
      </c>
      <c r="E55" s="11">
        <v>30</v>
      </c>
      <c r="F55" s="12">
        <v>10</v>
      </c>
      <c r="G55" s="11"/>
      <c r="H55" s="12"/>
      <c r="I55" s="10" t="s">
        <v>78</v>
      </c>
      <c r="J55" s="11">
        <v>9</v>
      </c>
      <c r="K55" s="13"/>
      <c r="L55" s="12">
        <f t="shared" si="0"/>
        <v>45</v>
      </c>
      <c r="M55" s="14">
        <f t="shared" si="1"/>
        <v>270</v>
      </c>
    </row>
    <row r="56" spans="2:13" s="15" customFormat="1" ht="16.5" x14ac:dyDescent="0.3">
      <c r="B56" s="9">
        <v>54</v>
      </c>
      <c r="C56" s="10">
        <v>4021</v>
      </c>
      <c r="D56" s="10" t="s">
        <v>81</v>
      </c>
      <c r="E56" s="11">
        <v>30</v>
      </c>
      <c r="F56" s="12">
        <v>6</v>
      </c>
      <c r="G56" s="11">
        <v>4</v>
      </c>
      <c r="H56" s="12"/>
      <c r="I56" s="10" t="s">
        <v>25</v>
      </c>
      <c r="J56" s="11">
        <v>9</v>
      </c>
      <c r="K56" s="13"/>
      <c r="L56" s="12">
        <f t="shared" si="0"/>
        <v>63</v>
      </c>
      <c r="M56" s="14">
        <f t="shared" si="1"/>
        <v>270</v>
      </c>
    </row>
    <row r="57" spans="2:13" s="15" customFormat="1" ht="16.5" x14ac:dyDescent="0.3">
      <c r="B57" s="9">
        <v>55</v>
      </c>
      <c r="C57" s="10">
        <v>4025</v>
      </c>
      <c r="D57" s="10" t="s">
        <v>82</v>
      </c>
      <c r="E57" s="11">
        <v>30</v>
      </c>
      <c r="F57" s="12">
        <v>10</v>
      </c>
      <c r="G57" s="11">
        <v>4</v>
      </c>
      <c r="H57" s="12"/>
      <c r="I57" s="10" t="s">
        <v>29</v>
      </c>
      <c r="J57" s="11">
        <v>9</v>
      </c>
      <c r="K57" s="13"/>
      <c r="L57" s="12">
        <f t="shared" si="0"/>
        <v>81</v>
      </c>
      <c r="M57" s="14">
        <f t="shared" si="1"/>
        <v>270</v>
      </c>
    </row>
    <row r="58" spans="2:13" s="15" customFormat="1" ht="16.5" x14ac:dyDescent="0.3">
      <c r="B58" s="9">
        <v>56</v>
      </c>
      <c r="C58" s="10">
        <v>4026</v>
      </c>
      <c r="D58" s="10" t="s">
        <v>83</v>
      </c>
      <c r="E58" s="11">
        <v>30</v>
      </c>
      <c r="F58" s="12"/>
      <c r="G58" s="11">
        <v>4</v>
      </c>
      <c r="H58" s="11"/>
      <c r="I58" s="10" t="s">
        <v>23</v>
      </c>
      <c r="J58" s="11">
        <v>8.25</v>
      </c>
      <c r="K58" s="10"/>
      <c r="L58" s="12">
        <f t="shared" si="0"/>
        <v>33</v>
      </c>
      <c r="M58" s="14">
        <f t="shared" si="1"/>
        <v>247.5</v>
      </c>
    </row>
    <row r="59" spans="2:13" s="15" customFormat="1" ht="16.5" x14ac:dyDescent="0.3">
      <c r="B59" s="9">
        <v>57</v>
      </c>
      <c r="C59" s="10">
        <v>4033</v>
      </c>
      <c r="D59" s="10" t="s">
        <v>84</v>
      </c>
      <c r="E59" s="11">
        <v>11</v>
      </c>
      <c r="F59" s="12"/>
      <c r="G59" s="11">
        <v>1</v>
      </c>
      <c r="H59" s="12"/>
      <c r="I59" s="10" t="s">
        <v>25</v>
      </c>
      <c r="J59" s="11">
        <v>9</v>
      </c>
      <c r="K59" s="13" t="s">
        <v>85</v>
      </c>
      <c r="L59" s="12">
        <f t="shared" si="0"/>
        <v>9</v>
      </c>
      <c r="M59" s="14">
        <f t="shared" si="1"/>
        <v>99</v>
      </c>
    </row>
    <row r="60" spans="2:13" s="15" customFormat="1" ht="16.5" x14ac:dyDescent="0.3">
      <c r="B60" s="9">
        <v>58</v>
      </c>
      <c r="C60" s="10">
        <v>4036</v>
      </c>
      <c r="D60" s="10" t="s">
        <v>86</v>
      </c>
      <c r="E60" s="11">
        <v>30</v>
      </c>
      <c r="F60" s="12">
        <v>14</v>
      </c>
      <c r="G60" s="11">
        <v>4</v>
      </c>
      <c r="H60" s="12"/>
      <c r="I60" s="10" t="s">
        <v>33</v>
      </c>
      <c r="J60" s="11">
        <v>9</v>
      </c>
      <c r="K60" s="13"/>
      <c r="L60" s="12">
        <f t="shared" si="0"/>
        <v>99</v>
      </c>
      <c r="M60" s="14">
        <f t="shared" si="1"/>
        <v>270</v>
      </c>
    </row>
    <row r="61" spans="2:13" s="15" customFormat="1" ht="16.5" x14ac:dyDescent="0.3">
      <c r="B61" s="9">
        <v>59</v>
      </c>
      <c r="C61" s="10">
        <v>4038</v>
      </c>
      <c r="D61" s="10" t="s">
        <v>87</v>
      </c>
      <c r="E61" s="11">
        <v>30</v>
      </c>
      <c r="F61" s="12">
        <v>10</v>
      </c>
      <c r="G61" s="11"/>
      <c r="H61" s="12"/>
      <c r="I61" s="10" t="s">
        <v>88</v>
      </c>
      <c r="J61" s="11">
        <v>9</v>
      </c>
      <c r="K61" s="13"/>
      <c r="L61" s="12">
        <f t="shared" si="0"/>
        <v>45</v>
      </c>
      <c r="M61" s="14">
        <f t="shared" si="1"/>
        <v>270</v>
      </c>
    </row>
    <row r="62" spans="2:13" s="15" customFormat="1" ht="16.5" x14ac:dyDescent="0.3">
      <c r="B62" s="9">
        <v>60</v>
      </c>
      <c r="C62" s="10">
        <v>4078</v>
      </c>
      <c r="D62" s="10" t="s">
        <v>89</v>
      </c>
      <c r="E62" s="11">
        <v>30</v>
      </c>
      <c r="F62" s="12">
        <v>4</v>
      </c>
      <c r="G62" s="11">
        <v>4</v>
      </c>
      <c r="H62" s="11"/>
      <c r="I62" s="10" t="s">
        <v>23</v>
      </c>
      <c r="J62" s="11">
        <v>9</v>
      </c>
      <c r="K62" s="10"/>
      <c r="L62" s="12">
        <f t="shared" si="0"/>
        <v>54</v>
      </c>
      <c r="M62" s="14">
        <f t="shared" si="1"/>
        <v>270</v>
      </c>
    </row>
    <row r="63" spans="2:13" s="15" customFormat="1" ht="16.5" x14ac:dyDescent="0.3">
      <c r="B63" s="9">
        <v>61</v>
      </c>
      <c r="C63" s="10">
        <v>4081</v>
      </c>
      <c r="D63" s="10" t="s">
        <v>90</v>
      </c>
      <c r="E63" s="11">
        <v>30</v>
      </c>
      <c r="F63" s="12"/>
      <c r="G63" s="11">
        <v>2</v>
      </c>
      <c r="H63" s="11"/>
      <c r="I63" s="10" t="s">
        <v>14</v>
      </c>
      <c r="J63" s="11">
        <v>9</v>
      </c>
      <c r="K63" s="13"/>
      <c r="L63" s="12">
        <f t="shared" si="0"/>
        <v>18</v>
      </c>
      <c r="M63" s="14">
        <f t="shared" si="1"/>
        <v>270</v>
      </c>
    </row>
    <row r="64" spans="2:13" s="15" customFormat="1" ht="16.5" x14ac:dyDescent="0.3">
      <c r="B64" s="9">
        <v>62</v>
      </c>
      <c r="C64" s="10">
        <v>4084</v>
      </c>
      <c r="D64" s="10" t="s">
        <v>91</v>
      </c>
      <c r="E64" s="11">
        <v>30</v>
      </c>
      <c r="F64" s="12">
        <v>15</v>
      </c>
      <c r="G64" s="11">
        <v>4</v>
      </c>
      <c r="H64" s="12"/>
      <c r="I64" s="10" t="s">
        <v>92</v>
      </c>
      <c r="J64" s="11">
        <v>8.25</v>
      </c>
      <c r="K64" s="13"/>
      <c r="L64" s="12">
        <f t="shared" si="0"/>
        <v>94.875</v>
      </c>
      <c r="M64" s="14">
        <f t="shared" si="1"/>
        <v>247.5</v>
      </c>
    </row>
    <row r="65" spans="2:13" s="15" customFormat="1" ht="16.5" x14ac:dyDescent="0.3">
      <c r="B65" s="9">
        <v>63</v>
      </c>
      <c r="C65" s="10">
        <v>4092</v>
      </c>
      <c r="D65" s="10" t="s">
        <v>93</v>
      </c>
      <c r="E65" s="11">
        <v>30</v>
      </c>
      <c r="F65" s="12">
        <v>10</v>
      </c>
      <c r="G65" s="11"/>
      <c r="H65" s="12"/>
      <c r="I65" s="10" t="s">
        <v>78</v>
      </c>
      <c r="J65" s="11">
        <v>9</v>
      </c>
      <c r="K65" s="13"/>
      <c r="L65" s="12">
        <f t="shared" si="0"/>
        <v>45</v>
      </c>
      <c r="M65" s="14">
        <f t="shared" si="1"/>
        <v>270</v>
      </c>
    </row>
    <row r="66" spans="2:13" s="15" customFormat="1" ht="16.5" x14ac:dyDescent="0.3">
      <c r="B66" s="9">
        <v>64</v>
      </c>
      <c r="C66" s="10">
        <v>4093</v>
      </c>
      <c r="D66" s="10" t="s">
        <v>94</v>
      </c>
      <c r="E66" s="11">
        <v>30</v>
      </c>
      <c r="F66" s="12"/>
      <c r="G66" s="11"/>
      <c r="H66" s="12"/>
      <c r="I66" s="10" t="s">
        <v>38</v>
      </c>
      <c r="J66" s="11">
        <v>8.25</v>
      </c>
      <c r="K66" s="13"/>
      <c r="L66" s="12">
        <f t="shared" si="0"/>
        <v>0</v>
      </c>
      <c r="M66" s="14">
        <f t="shared" si="1"/>
        <v>247.5</v>
      </c>
    </row>
    <row r="67" spans="2:13" s="15" customFormat="1" ht="16.5" x14ac:dyDescent="0.3">
      <c r="B67" s="9">
        <v>65</v>
      </c>
      <c r="C67" s="10">
        <v>4101</v>
      </c>
      <c r="D67" s="10" t="s">
        <v>95</v>
      </c>
      <c r="E67" s="11">
        <v>30</v>
      </c>
      <c r="F67" s="12">
        <v>15</v>
      </c>
      <c r="G67" s="11"/>
      <c r="H67" s="12"/>
      <c r="I67" s="10" t="s">
        <v>78</v>
      </c>
      <c r="J67" s="11">
        <v>9</v>
      </c>
      <c r="K67" s="13"/>
      <c r="L67" s="12">
        <f t="shared" ref="L67:L92" si="2">(F67*J67*0.5)+(G67*J67)+(H67*J67)</f>
        <v>67.5</v>
      </c>
      <c r="M67" s="14">
        <f t="shared" ref="M67:M92" si="3">E67*J67</f>
        <v>270</v>
      </c>
    </row>
    <row r="68" spans="2:13" s="15" customFormat="1" ht="16.5" x14ac:dyDescent="0.3">
      <c r="B68" s="9">
        <v>66</v>
      </c>
      <c r="C68" s="10">
        <v>4102</v>
      </c>
      <c r="D68" s="10" t="s">
        <v>96</v>
      </c>
      <c r="E68" s="11">
        <v>30</v>
      </c>
      <c r="F68" s="12"/>
      <c r="G68" s="11">
        <v>4</v>
      </c>
      <c r="H68" s="12"/>
      <c r="I68" s="10" t="s">
        <v>29</v>
      </c>
      <c r="J68" s="11">
        <v>9</v>
      </c>
      <c r="K68" s="13"/>
      <c r="L68" s="12">
        <f t="shared" si="2"/>
        <v>36</v>
      </c>
      <c r="M68" s="14">
        <f t="shared" si="3"/>
        <v>270</v>
      </c>
    </row>
    <row r="69" spans="2:13" s="15" customFormat="1" ht="16.5" x14ac:dyDescent="0.3">
      <c r="B69" s="9">
        <v>67</v>
      </c>
      <c r="C69" s="10">
        <v>4106</v>
      </c>
      <c r="D69" s="10" t="s">
        <v>97</v>
      </c>
      <c r="E69" s="11">
        <v>30</v>
      </c>
      <c r="F69" s="12">
        <v>5</v>
      </c>
      <c r="G69" s="11">
        <v>4</v>
      </c>
      <c r="H69" s="11"/>
      <c r="I69" s="10" t="s">
        <v>14</v>
      </c>
      <c r="J69" s="11">
        <v>9</v>
      </c>
      <c r="K69" s="13"/>
      <c r="L69" s="12">
        <f t="shared" si="2"/>
        <v>58.5</v>
      </c>
      <c r="M69" s="14">
        <f t="shared" si="3"/>
        <v>270</v>
      </c>
    </row>
    <row r="70" spans="2:13" s="15" customFormat="1" ht="16.5" x14ac:dyDescent="0.3">
      <c r="B70" s="9">
        <v>68</v>
      </c>
      <c r="C70" s="10">
        <v>4110</v>
      </c>
      <c r="D70" s="10" t="s">
        <v>98</v>
      </c>
      <c r="E70" s="11">
        <v>30</v>
      </c>
      <c r="F70" s="12">
        <v>8</v>
      </c>
      <c r="G70" s="11">
        <v>3</v>
      </c>
      <c r="H70" s="12"/>
      <c r="I70" s="10" t="s">
        <v>99</v>
      </c>
      <c r="J70" s="11">
        <v>9</v>
      </c>
      <c r="K70" s="13"/>
      <c r="L70" s="12">
        <f t="shared" si="2"/>
        <v>63</v>
      </c>
      <c r="M70" s="14">
        <f t="shared" si="3"/>
        <v>270</v>
      </c>
    </row>
    <row r="71" spans="2:13" s="15" customFormat="1" ht="16.5" x14ac:dyDescent="0.3">
      <c r="B71" s="9">
        <v>69</v>
      </c>
      <c r="C71" s="10">
        <v>4111</v>
      </c>
      <c r="D71" s="10" t="s">
        <v>100</v>
      </c>
      <c r="E71" s="11">
        <v>30</v>
      </c>
      <c r="F71" s="12"/>
      <c r="G71" s="11"/>
      <c r="H71" s="12"/>
      <c r="I71" s="10" t="s">
        <v>101</v>
      </c>
      <c r="J71" s="11">
        <v>9</v>
      </c>
      <c r="K71" s="13"/>
      <c r="L71" s="12">
        <f t="shared" si="2"/>
        <v>0</v>
      </c>
      <c r="M71" s="14">
        <f t="shared" si="3"/>
        <v>270</v>
      </c>
    </row>
    <row r="72" spans="2:13" s="15" customFormat="1" ht="16.5" x14ac:dyDescent="0.3">
      <c r="B72" s="9">
        <v>70</v>
      </c>
      <c r="C72" s="10">
        <v>4113</v>
      </c>
      <c r="D72" s="10" t="s">
        <v>102</v>
      </c>
      <c r="E72" s="11">
        <v>30</v>
      </c>
      <c r="F72" s="12">
        <v>10</v>
      </c>
      <c r="G72" s="11">
        <v>4</v>
      </c>
      <c r="H72" s="12"/>
      <c r="I72" s="10" t="s">
        <v>29</v>
      </c>
      <c r="J72" s="11">
        <v>9</v>
      </c>
      <c r="K72" s="13"/>
      <c r="L72" s="12">
        <f t="shared" si="2"/>
        <v>81</v>
      </c>
      <c r="M72" s="14">
        <f t="shared" si="3"/>
        <v>270</v>
      </c>
    </row>
    <row r="73" spans="2:13" s="15" customFormat="1" ht="16.5" x14ac:dyDescent="0.3">
      <c r="B73" s="9">
        <v>71</v>
      </c>
      <c r="C73" s="10">
        <v>4116</v>
      </c>
      <c r="D73" s="10" t="s">
        <v>103</v>
      </c>
      <c r="E73" s="11">
        <v>30</v>
      </c>
      <c r="F73" s="12">
        <v>2</v>
      </c>
      <c r="G73" s="11">
        <v>4</v>
      </c>
      <c r="H73" s="12"/>
      <c r="I73" s="10" t="s">
        <v>25</v>
      </c>
      <c r="J73" s="11">
        <v>8.25</v>
      </c>
      <c r="K73" s="13"/>
      <c r="L73" s="12">
        <f t="shared" si="2"/>
        <v>41.25</v>
      </c>
      <c r="M73" s="14">
        <f t="shared" si="3"/>
        <v>247.5</v>
      </c>
    </row>
    <row r="74" spans="2:13" s="15" customFormat="1" ht="16.5" x14ac:dyDescent="0.3">
      <c r="B74" s="9">
        <v>72</v>
      </c>
      <c r="C74" s="10">
        <v>4118</v>
      </c>
      <c r="D74" s="10" t="s">
        <v>104</v>
      </c>
      <c r="E74" s="11">
        <v>30</v>
      </c>
      <c r="F74" s="12"/>
      <c r="G74" s="11"/>
      <c r="H74" s="12"/>
      <c r="I74" s="10" t="s">
        <v>78</v>
      </c>
      <c r="J74" s="11">
        <v>8.25</v>
      </c>
      <c r="K74" s="13"/>
      <c r="L74" s="12">
        <f t="shared" si="2"/>
        <v>0</v>
      </c>
      <c r="M74" s="14">
        <f t="shared" si="3"/>
        <v>247.5</v>
      </c>
    </row>
    <row r="75" spans="2:13" s="15" customFormat="1" ht="16.5" x14ac:dyDescent="0.3">
      <c r="B75" s="9">
        <v>73</v>
      </c>
      <c r="C75" s="10">
        <v>4119</v>
      </c>
      <c r="D75" s="10" t="s">
        <v>105</v>
      </c>
      <c r="E75" s="11">
        <v>30</v>
      </c>
      <c r="F75" s="12">
        <v>10</v>
      </c>
      <c r="G75" s="11">
        <v>4</v>
      </c>
      <c r="H75" s="11"/>
      <c r="I75" s="10" t="s">
        <v>23</v>
      </c>
      <c r="J75" s="11">
        <v>8.25</v>
      </c>
      <c r="K75" s="13"/>
      <c r="L75" s="12">
        <f t="shared" si="2"/>
        <v>74.25</v>
      </c>
      <c r="M75" s="14">
        <f t="shared" si="3"/>
        <v>247.5</v>
      </c>
    </row>
    <row r="76" spans="2:13" s="15" customFormat="1" ht="16.5" x14ac:dyDescent="0.3">
      <c r="B76" s="9">
        <v>74</v>
      </c>
      <c r="C76" s="10">
        <v>4121</v>
      </c>
      <c r="D76" s="10" t="s">
        <v>106</v>
      </c>
      <c r="E76" s="11">
        <v>30</v>
      </c>
      <c r="F76" s="12"/>
      <c r="G76" s="11">
        <v>4</v>
      </c>
      <c r="H76" s="12"/>
      <c r="I76" s="10" t="s">
        <v>29</v>
      </c>
      <c r="J76" s="11">
        <v>8.25</v>
      </c>
      <c r="K76" s="13"/>
      <c r="L76" s="12">
        <f t="shared" si="2"/>
        <v>33</v>
      </c>
      <c r="M76" s="14">
        <f t="shared" si="3"/>
        <v>247.5</v>
      </c>
    </row>
    <row r="77" spans="2:13" s="15" customFormat="1" ht="16.5" x14ac:dyDescent="0.3">
      <c r="B77" s="9">
        <v>75</v>
      </c>
      <c r="C77" s="10">
        <v>4123</v>
      </c>
      <c r="D77" s="10" t="s">
        <v>107</v>
      </c>
      <c r="E77" s="11">
        <v>30</v>
      </c>
      <c r="F77" s="12">
        <v>10</v>
      </c>
      <c r="G77" s="11">
        <v>4</v>
      </c>
      <c r="H77" s="12"/>
      <c r="I77" s="10" t="s">
        <v>18</v>
      </c>
      <c r="J77" s="11">
        <v>8.25</v>
      </c>
      <c r="K77" s="13"/>
      <c r="L77" s="12">
        <f t="shared" si="2"/>
        <v>74.25</v>
      </c>
      <c r="M77" s="14">
        <f t="shared" si="3"/>
        <v>247.5</v>
      </c>
    </row>
    <row r="78" spans="2:13" s="15" customFormat="1" ht="16.5" x14ac:dyDescent="0.3">
      <c r="B78" s="9">
        <v>76</v>
      </c>
      <c r="C78" s="10">
        <v>4124</v>
      </c>
      <c r="D78" s="10" t="s">
        <v>108</v>
      </c>
      <c r="E78" s="11">
        <v>30</v>
      </c>
      <c r="F78" s="12">
        <v>10</v>
      </c>
      <c r="G78" s="11"/>
      <c r="H78" s="12"/>
      <c r="I78" s="10" t="s">
        <v>101</v>
      </c>
      <c r="J78" s="11">
        <v>8.25</v>
      </c>
      <c r="K78" s="13"/>
      <c r="L78" s="12">
        <f t="shared" si="2"/>
        <v>41.25</v>
      </c>
      <c r="M78" s="14">
        <f t="shared" si="3"/>
        <v>247.5</v>
      </c>
    </row>
    <row r="79" spans="2:13" s="15" customFormat="1" ht="16.5" x14ac:dyDescent="0.3">
      <c r="B79" s="9">
        <v>77</v>
      </c>
      <c r="C79" s="10">
        <v>4128</v>
      </c>
      <c r="D79" s="10" t="s">
        <v>109</v>
      </c>
      <c r="E79" s="11">
        <v>30</v>
      </c>
      <c r="F79" s="12">
        <v>10</v>
      </c>
      <c r="G79" s="11">
        <v>4</v>
      </c>
      <c r="H79" s="12"/>
      <c r="I79" s="10" t="s">
        <v>33</v>
      </c>
      <c r="J79" s="11">
        <v>8.25</v>
      </c>
      <c r="K79" s="13"/>
      <c r="L79" s="12">
        <f t="shared" si="2"/>
        <v>74.25</v>
      </c>
      <c r="M79" s="14">
        <f t="shared" si="3"/>
        <v>247.5</v>
      </c>
    </row>
    <row r="80" spans="2:13" s="15" customFormat="1" ht="16.5" x14ac:dyDescent="0.3">
      <c r="B80" s="9">
        <v>78</v>
      </c>
      <c r="C80" s="10">
        <v>4129</v>
      </c>
      <c r="D80" s="10" t="s">
        <v>110</v>
      </c>
      <c r="E80" s="11">
        <v>30</v>
      </c>
      <c r="F80" s="12">
        <v>10</v>
      </c>
      <c r="G80" s="11">
        <v>4</v>
      </c>
      <c r="H80" s="12"/>
      <c r="I80" s="10" t="s">
        <v>27</v>
      </c>
      <c r="J80" s="11">
        <v>8.25</v>
      </c>
      <c r="K80" s="13"/>
      <c r="L80" s="12">
        <f t="shared" si="2"/>
        <v>74.25</v>
      </c>
      <c r="M80" s="14">
        <f t="shared" si="3"/>
        <v>247.5</v>
      </c>
    </row>
    <row r="81" spans="2:13" s="15" customFormat="1" ht="16.5" x14ac:dyDescent="0.3">
      <c r="B81" s="9">
        <v>79</v>
      </c>
      <c r="C81" s="10">
        <v>4131</v>
      </c>
      <c r="D81" s="10" t="s">
        <v>111</v>
      </c>
      <c r="E81" s="11">
        <v>30</v>
      </c>
      <c r="F81" s="12"/>
      <c r="G81" s="11">
        <v>2</v>
      </c>
      <c r="H81" s="12"/>
      <c r="I81" s="10" t="s">
        <v>33</v>
      </c>
      <c r="J81" s="11">
        <v>8.25</v>
      </c>
      <c r="K81" s="13"/>
      <c r="L81" s="12">
        <f t="shared" si="2"/>
        <v>16.5</v>
      </c>
      <c r="M81" s="14">
        <f t="shared" si="3"/>
        <v>247.5</v>
      </c>
    </row>
    <row r="82" spans="2:13" s="15" customFormat="1" ht="16.5" x14ac:dyDescent="0.3">
      <c r="B82" s="9">
        <v>80</v>
      </c>
      <c r="C82" s="10">
        <v>4134</v>
      </c>
      <c r="D82" s="10" t="s">
        <v>112</v>
      </c>
      <c r="E82" s="11">
        <v>30</v>
      </c>
      <c r="F82" s="12"/>
      <c r="G82" s="11">
        <v>4</v>
      </c>
      <c r="H82" s="12"/>
      <c r="I82" s="10" t="s">
        <v>27</v>
      </c>
      <c r="J82" s="11">
        <v>8.25</v>
      </c>
      <c r="K82" s="13"/>
      <c r="L82" s="12">
        <f t="shared" si="2"/>
        <v>33</v>
      </c>
      <c r="M82" s="14">
        <f t="shared" si="3"/>
        <v>247.5</v>
      </c>
    </row>
    <row r="83" spans="2:13" s="15" customFormat="1" ht="16.5" x14ac:dyDescent="0.3">
      <c r="B83" s="9">
        <v>81</v>
      </c>
      <c r="C83" s="10">
        <v>4136</v>
      </c>
      <c r="D83" s="10" t="s">
        <v>113</v>
      </c>
      <c r="E83" s="11">
        <v>30</v>
      </c>
      <c r="F83" s="12">
        <v>16</v>
      </c>
      <c r="G83" s="11"/>
      <c r="H83" s="12"/>
      <c r="I83" s="10" t="s">
        <v>23</v>
      </c>
      <c r="J83" s="11">
        <v>8.25</v>
      </c>
      <c r="K83" s="13"/>
      <c r="L83" s="12">
        <f t="shared" si="2"/>
        <v>66</v>
      </c>
      <c r="M83" s="14">
        <f t="shared" si="3"/>
        <v>247.5</v>
      </c>
    </row>
    <row r="84" spans="2:13" s="15" customFormat="1" ht="16.5" x14ac:dyDescent="0.3">
      <c r="B84" s="9">
        <v>82</v>
      </c>
      <c r="C84" s="10">
        <v>4139</v>
      </c>
      <c r="D84" s="10" t="s">
        <v>114</v>
      </c>
      <c r="E84" s="11">
        <v>30</v>
      </c>
      <c r="F84" s="12"/>
      <c r="G84" s="11">
        <v>4</v>
      </c>
      <c r="H84" s="12"/>
      <c r="I84" s="10" t="s">
        <v>23</v>
      </c>
      <c r="J84" s="11">
        <v>8.25</v>
      </c>
      <c r="K84" s="13"/>
      <c r="L84" s="12">
        <f t="shared" si="2"/>
        <v>33</v>
      </c>
      <c r="M84" s="14">
        <f t="shared" si="3"/>
        <v>247.5</v>
      </c>
    </row>
    <row r="85" spans="2:13" s="15" customFormat="1" ht="16.5" x14ac:dyDescent="0.3">
      <c r="B85" s="9">
        <v>83</v>
      </c>
      <c r="C85" s="10">
        <v>4140</v>
      </c>
      <c r="D85" s="10" t="s">
        <v>115</v>
      </c>
      <c r="E85" s="11">
        <v>30</v>
      </c>
      <c r="F85" s="12">
        <v>8</v>
      </c>
      <c r="G85" s="11">
        <v>4</v>
      </c>
      <c r="H85" s="12"/>
      <c r="I85" s="10" t="s">
        <v>23</v>
      </c>
      <c r="J85" s="11">
        <v>8.25</v>
      </c>
      <c r="K85" s="13"/>
      <c r="L85" s="12">
        <f t="shared" si="2"/>
        <v>66</v>
      </c>
      <c r="M85" s="14">
        <f t="shared" si="3"/>
        <v>247.5</v>
      </c>
    </row>
    <row r="86" spans="2:13" s="15" customFormat="1" ht="16.5" x14ac:dyDescent="0.3">
      <c r="B86" s="9">
        <v>84</v>
      </c>
      <c r="C86" s="10">
        <v>5057</v>
      </c>
      <c r="D86" s="10" t="s">
        <v>116</v>
      </c>
      <c r="E86" s="11">
        <v>19</v>
      </c>
      <c r="F86" s="12"/>
      <c r="G86" s="11"/>
      <c r="H86" s="12"/>
      <c r="I86" s="10" t="s">
        <v>38</v>
      </c>
      <c r="J86" s="11">
        <v>9</v>
      </c>
      <c r="K86" s="13"/>
      <c r="L86" s="12">
        <f t="shared" si="2"/>
        <v>0</v>
      </c>
      <c r="M86" s="14">
        <f t="shared" si="3"/>
        <v>171</v>
      </c>
    </row>
    <row r="87" spans="2:13" s="15" customFormat="1" ht="16.5" x14ac:dyDescent="0.3">
      <c r="B87" s="9">
        <v>85</v>
      </c>
      <c r="C87" s="10">
        <v>5071</v>
      </c>
      <c r="D87" s="10" t="s">
        <v>117</v>
      </c>
      <c r="E87" s="11">
        <v>30</v>
      </c>
      <c r="F87" s="12"/>
      <c r="G87" s="11">
        <v>4</v>
      </c>
      <c r="H87" s="12"/>
      <c r="I87" s="10" t="s">
        <v>118</v>
      </c>
      <c r="J87" s="11">
        <v>9</v>
      </c>
      <c r="K87" s="13"/>
      <c r="L87" s="12">
        <f t="shared" si="2"/>
        <v>36</v>
      </c>
      <c r="M87" s="14">
        <f t="shared" si="3"/>
        <v>270</v>
      </c>
    </row>
    <row r="88" spans="2:13" s="15" customFormat="1" ht="16.5" x14ac:dyDescent="0.3">
      <c r="B88" s="9">
        <v>86</v>
      </c>
      <c r="C88" s="10">
        <v>7051</v>
      </c>
      <c r="D88" s="10" t="s">
        <v>119</v>
      </c>
      <c r="E88" s="11">
        <v>30</v>
      </c>
      <c r="F88" s="12">
        <v>10</v>
      </c>
      <c r="G88" s="11">
        <v>4</v>
      </c>
      <c r="H88" s="12"/>
      <c r="I88" s="10" t="s">
        <v>29</v>
      </c>
      <c r="J88" s="11">
        <v>9</v>
      </c>
      <c r="K88" s="13"/>
      <c r="L88" s="12">
        <f t="shared" si="2"/>
        <v>81</v>
      </c>
      <c r="M88" s="14">
        <f t="shared" si="3"/>
        <v>270</v>
      </c>
    </row>
    <row r="89" spans="2:13" s="15" customFormat="1" ht="16.5" x14ac:dyDescent="0.3">
      <c r="B89" s="9">
        <v>87</v>
      </c>
      <c r="C89" s="10">
        <v>9097</v>
      </c>
      <c r="D89" s="10" t="s">
        <v>120</v>
      </c>
      <c r="E89" s="11">
        <v>30</v>
      </c>
      <c r="F89" s="12">
        <v>8</v>
      </c>
      <c r="G89" s="11">
        <v>4</v>
      </c>
      <c r="H89" s="12"/>
      <c r="I89" s="10" t="s">
        <v>18</v>
      </c>
      <c r="J89" s="11">
        <v>9</v>
      </c>
      <c r="K89" s="13"/>
      <c r="L89" s="12">
        <f t="shared" si="2"/>
        <v>72</v>
      </c>
      <c r="M89" s="14">
        <f t="shared" si="3"/>
        <v>270</v>
      </c>
    </row>
    <row r="90" spans="2:13" s="15" customFormat="1" ht="16.5" x14ac:dyDescent="0.3">
      <c r="B90" s="9">
        <v>88</v>
      </c>
      <c r="C90" s="10">
        <v>30023</v>
      </c>
      <c r="D90" s="10" t="s">
        <v>121</v>
      </c>
      <c r="E90" s="11">
        <v>30</v>
      </c>
      <c r="F90" s="12"/>
      <c r="G90" s="11">
        <v>4</v>
      </c>
      <c r="H90" s="12"/>
      <c r="I90" s="10" t="s">
        <v>29</v>
      </c>
      <c r="J90" s="11">
        <v>9</v>
      </c>
      <c r="K90" s="13"/>
      <c r="L90" s="12">
        <f t="shared" si="2"/>
        <v>36</v>
      </c>
      <c r="M90" s="14">
        <f t="shared" si="3"/>
        <v>270</v>
      </c>
    </row>
    <row r="91" spans="2:13" s="15" customFormat="1" ht="16.5" x14ac:dyDescent="0.3">
      <c r="B91" s="9">
        <v>89</v>
      </c>
      <c r="C91" s="10">
        <v>50507</v>
      </c>
      <c r="D91" s="10" t="s">
        <v>122</v>
      </c>
      <c r="E91" s="11">
        <v>30</v>
      </c>
      <c r="F91" s="12">
        <v>12</v>
      </c>
      <c r="G91" s="11">
        <v>4</v>
      </c>
      <c r="H91" s="12"/>
      <c r="I91" s="10" t="s">
        <v>35</v>
      </c>
      <c r="J91" s="11">
        <v>8.25</v>
      </c>
      <c r="K91" s="13"/>
      <c r="L91" s="12">
        <f t="shared" si="2"/>
        <v>82.5</v>
      </c>
      <c r="M91" s="14">
        <f t="shared" si="3"/>
        <v>247.5</v>
      </c>
    </row>
    <row r="92" spans="2:13" s="15" customFormat="1" ht="17.25" thickBot="1" x14ac:dyDescent="0.35">
      <c r="B92" s="16">
        <v>90</v>
      </c>
      <c r="C92" s="17">
        <v>50553</v>
      </c>
      <c r="D92" s="17" t="s">
        <v>123</v>
      </c>
      <c r="E92" s="18">
        <v>16</v>
      </c>
      <c r="F92" s="19">
        <v>1</v>
      </c>
      <c r="G92" s="18"/>
      <c r="H92" s="19"/>
      <c r="I92" s="17" t="s">
        <v>78</v>
      </c>
      <c r="J92" s="18">
        <v>9</v>
      </c>
      <c r="K92" s="20" t="s">
        <v>124</v>
      </c>
      <c r="L92" s="19">
        <f t="shared" si="2"/>
        <v>4.5</v>
      </c>
      <c r="M92" s="21">
        <f t="shared" si="3"/>
        <v>144</v>
      </c>
    </row>
    <row r="93" spans="2:13" s="15" customFormat="1" ht="17.25" thickBot="1" x14ac:dyDescent="0.35">
      <c r="B93" s="22"/>
      <c r="C93" s="22"/>
      <c r="D93" s="22"/>
      <c r="E93" s="23"/>
      <c r="F93" s="24"/>
      <c r="G93" s="23"/>
      <c r="H93" s="24"/>
      <c r="I93" s="22"/>
      <c r="J93" s="24"/>
      <c r="K93" s="25"/>
      <c r="L93" s="24"/>
      <c r="M93" s="24"/>
    </row>
    <row r="94" spans="2:13" s="15" customFormat="1" ht="17.25" thickBot="1" x14ac:dyDescent="0.35">
      <c r="B94" s="26"/>
      <c r="C94" s="27"/>
      <c r="D94" s="28"/>
      <c r="E94" s="29"/>
      <c r="F94" s="30" t="s">
        <v>125</v>
      </c>
      <c r="G94" s="31"/>
      <c r="H94" s="26"/>
      <c r="I94" s="32"/>
      <c r="J94" s="33"/>
      <c r="K94" s="34"/>
      <c r="L94" s="33"/>
      <c r="M94" s="33"/>
    </row>
    <row r="95" spans="2:13" s="15" customFormat="1" ht="17.25" thickBot="1" x14ac:dyDescent="0.35">
      <c r="B95" s="26"/>
      <c r="C95" s="27"/>
      <c r="D95" s="35" t="s">
        <v>126</v>
      </c>
      <c r="E95" s="36"/>
      <c r="F95" s="37">
        <f>SUM(M3:M79)</f>
        <v>19882.5</v>
      </c>
      <c r="G95" s="31"/>
      <c r="H95" s="26"/>
      <c r="I95" s="32"/>
      <c r="J95" s="33"/>
      <c r="K95" s="34"/>
      <c r="L95" s="33"/>
      <c r="M95" s="33"/>
    </row>
    <row r="96" spans="2:13" s="15" customFormat="1" ht="17.25" thickBot="1" x14ac:dyDescent="0.35">
      <c r="B96" s="26"/>
      <c r="C96" s="27"/>
      <c r="D96" s="35" t="s">
        <v>127</v>
      </c>
      <c r="E96" s="36"/>
      <c r="F96" s="37">
        <f>SUM(L3:L79)</f>
        <v>3936.375</v>
      </c>
      <c r="G96" s="31"/>
      <c r="H96" s="26"/>
      <c r="I96" s="32"/>
      <c r="J96" s="33"/>
      <c r="K96" s="34"/>
      <c r="L96" s="33"/>
      <c r="M96" s="33"/>
    </row>
    <row r="97" spans="2:13" s="15" customFormat="1" ht="17.25" thickBot="1" x14ac:dyDescent="0.35">
      <c r="B97" s="26"/>
      <c r="C97" s="27"/>
      <c r="D97" s="38" t="s">
        <v>128</v>
      </c>
      <c r="E97" s="39"/>
      <c r="F97" s="40">
        <f>SUM(F95:F96)</f>
        <v>23818.875</v>
      </c>
      <c r="G97" s="26"/>
      <c r="H97" s="26"/>
      <c r="I97" s="32"/>
      <c r="J97" s="33"/>
      <c r="K97" s="32"/>
      <c r="L97" s="33"/>
      <c r="M97" s="33"/>
    </row>
    <row r="98" spans="2:13" s="15" customFormat="1" ht="16.5" x14ac:dyDescent="0.3">
      <c r="B98" s="26"/>
      <c r="C98" s="27"/>
      <c r="D98" s="41"/>
      <c r="E98" s="33"/>
      <c r="F98" s="31"/>
      <c r="G98" s="26"/>
      <c r="H98" s="26"/>
      <c r="I98" s="32"/>
      <c r="J98" s="33"/>
      <c r="K98" s="32"/>
      <c r="L98" s="33"/>
      <c r="M98" s="33"/>
    </row>
    <row r="99" spans="2:13" s="15" customFormat="1" ht="16.5" x14ac:dyDescent="0.3">
      <c r="B99" s="27"/>
      <c r="C99" s="27"/>
      <c r="D99" s="41" t="s">
        <v>129</v>
      </c>
      <c r="E99" s="42" t="s">
        <v>130</v>
      </c>
      <c r="F99" s="42"/>
      <c r="G99" s="42" t="s">
        <v>131</v>
      </c>
      <c r="H99" s="42"/>
      <c r="I99" s="42" t="s">
        <v>132</v>
      </c>
      <c r="J99" s="43"/>
      <c r="K99" s="41" t="s">
        <v>133</v>
      </c>
      <c r="L99" s="33"/>
      <c r="M99" s="33"/>
    </row>
    <row r="100" spans="2:13" s="15" customFormat="1" ht="16.5" x14ac:dyDescent="0.3">
      <c r="B100" s="27"/>
      <c r="C100" s="27"/>
      <c r="D100" s="32"/>
      <c r="E100" s="26"/>
      <c r="F100" s="26"/>
      <c r="G100" s="26"/>
      <c r="H100" s="26"/>
      <c r="I100" s="32"/>
      <c r="J100" s="33"/>
      <c r="K100" s="32"/>
      <c r="L100" s="33"/>
      <c r="M100" s="33"/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Abusaghirah</dc:creator>
  <cp:lastModifiedBy>Abdullah Abusaghirah</cp:lastModifiedBy>
  <dcterms:created xsi:type="dcterms:W3CDTF">2015-06-05T18:17:20Z</dcterms:created>
  <dcterms:modified xsi:type="dcterms:W3CDTF">2025-12-16T13:23:14Z</dcterms:modified>
</cp:coreProperties>
</file>